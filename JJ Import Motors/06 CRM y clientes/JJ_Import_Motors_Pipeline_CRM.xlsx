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A306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3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" fontId="3" fillId="0" borderId="1" pivotButton="0" quotePrefix="0" xfId="0"/>
    <xf numFmtId="166" fontId="3" fillId="0" borderId="1" pivotButton="0" quotePrefix="0" xfId="0"/>
    <xf numFmtId="164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476500" cy="600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2" customWidth="1" min="4" max="4"/>
    <col width="13" customWidth="1" min="5" max="5"/>
    <col width="26" customWidth="1" min="6" max="6"/>
    <col width="18" customWidth="1" min="7" max="7"/>
    <col width="14" customWidth="1" min="8" max="8"/>
    <col width="16" customWidth="1" min="9" max="9"/>
    <col width="13" customWidth="1" min="10" max="10"/>
    <col width="15" customWidth="1" min="11" max="11"/>
    <col width="15" customWidth="1" min="12" max="12"/>
    <col width="11" customWidth="1" min="13" max="13"/>
    <col width="13" customWidth="1" min="14" max="14"/>
    <col width="13" customWidth="1" min="15" max="15"/>
    <col width="13" customWidth="1" min="16" max="16"/>
    <col width="26" customWidth="1" min="17" max="17"/>
    <col width="15" customWidth="1" min="18" max="18"/>
    <col width="30" customWidth="1" min="19" max="19"/>
  </cols>
  <sheetData>
    <row r="1" ht="26" customHeight="1">
      <c r="A1" s="1" t="inlineStr">
        <is>
          <t>Pipeline de leads y operaciones</t>
        </is>
      </c>
    </row>
    <row r="2" ht="32" customHeight="1">
      <c r="A2" s="2" t="inlineStr">
        <is>
          <t>ID</t>
        </is>
      </c>
      <c r="B2" s="2" t="inlineStr">
        <is>
          <t>Fecha alta</t>
        </is>
      </c>
      <c r="C2" s="2" t="inlineStr">
        <is>
          <t>Cliente</t>
        </is>
      </c>
      <c r="D2" s="2" t="inlineStr">
        <is>
          <t>Contacto</t>
        </is>
      </c>
      <c r="E2" s="2" t="inlineStr">
        <is>
          <t>Canal</t>
        </is>
      </c>
      <c r="F2" s="2" t="inlineStr">
        <is>
          <t>Coche de interés</t>
        </is>
      </c>
      <c r="G2" s="2" t="inlineStr">
        <is>
          <t>Estado</t>
        </is>
      </c>
      <c r="H2" s="2" t="inlineStr">
        <is>
          <t>Fuente</t>
        </is>
      </c>
      <c r="I2" s="2" t="inlineStr">
        <is>
          <t>Presupuesto total (€)</t>
        </is>
      </c>
      <c r="J2" s="2" t="inlineStr">
        <is>
          <t>Honorario (€)</t>
        </is>
      </c>
      <c r="K2" s="2" t="inlineStr">
        <is>
          <t>Costes propios (€)</t>
        </is>
      </c>
      <c r="L2" s="2" t="inlineStr">
        <is>
          <t>Beneficio neto (€)</t>
        </is>
      </c>
      <c r="M2" s="2" t="inlineStr">
        <is>
          <t>Señal (€)</t>
        </is>
      </c>
      <c r="N2" s="2" t="inlineStr">
        <is>
          <t>Fecha compra</t>
        </is>
      </c>
      <c r="O2" s="2" t="inlineStr">
        <is>
          <t>Fecha entrega</t>
        </is>
      </c>
      <c r="P2" s="2" t="inlineStr">
        <is>
          <t>Días en proceso</t>
        </is>
      </c>
      <c r="Q2" s="2" t="inlineStr">
        <is>
          <t>Próxima acción</t>
        </is>
      </c>
      <c r="R2" s="2" t="inlineStr">
        <is>
          <t>Fecha próx. acción</t>
        </is>
      </c>
      <c r="S2" s="2" t="inlineStr">
        <is>
          <t>Notas</t>
        </is>
      </c>
    </row>
    <row r="3">
      <c r="A3" s="3" t="n">
        <v>1</v>
      </c>
      <c r="B3" s="4" t="n">
        <v>46183</v>
      </c>
      <c r="C3" s="3" t="inlineStr">
        <is>
          <t>Carlos M.</t>
        </is>
      </c>
      <c r="D3" s="3" t="inlineStr">
        <is>
          <t>6XX111222</t>
        </is>
      </c>
      <c r="E3" s="3" t="inlineStr">
        <is>
          <t>Catálogo</t>
        </is>
      </c>
      <c r="F3" s="3" t="inlineStr">
        <is>
          <t>BMW 320d 2020</t>
        </is>
      </c>
      <c r="G3" s="3" t="inlineStr">
        <is>
          <t>Entregado</t>
        </is>
      </c>
      <c r="H3" s="3" t="inlineStr">
        <is>
          <t>Instagram</t>
        </is>
      </c>
      <c r="I3" s="5" t="n">
        <v>30000</v>
      </c>
      <c r="J3" s="5" t="n">
        <v>2250</v>
      </c>
      <c r="K3" s="5" t="n">
        <v>500</v>
      </c>
      <c r="L3" s="6">
        <f>IF(J3="","",J3-K3)</f>
        <v/>
      </c>
      <c r="M3" s="5" t="n">
        <v>500</v>
      </c>
      <c r="N3" s="4" t="n">
        <v>46193</v>
      </c>
      <c r="O3" s="4" t="n">
        <v>46207</v>
      </c>
      <c r="P3" s="7">
        <f>IF(AND(N3&lt;&gt;"",O3&lt;&gt;""),O3-N3,"")</f>
        <v/>
      </c>
      <c r="Q3" s="3" t="inlineStr">
        <is>
          <t>Cerrado. Pedir reseña</t>
        </is>
      </c>
      <c r="R3" s="4" t="inlineStr"/>
      <c r="S3" s="3" t="inlineStr">
        <is>
          <t>Cliente muy contento</t>
        </is>
      </c>
    </row>
    <row r="4">
      <c r="A4" s="3" t="n">
        <v>2</v>
      </c>
      <c r="B4" s="4" t="n">
        <v>46204</v>
      </c>
      <c r="C4" s="3" t="inlineStr">
        <is>
          <t>Laura P.</t>
        </is>
      </c>
      <c r="D4" s="3" t="inlineStr">
        <is>
          <t>laura@mail.com</t>
        </is>
      </c>
      <c r="E4" s="3" t="inlineStr">
        <is>
          <t>Encargo</t>
        </is>
      </c>
      <c r="F4" s="3" t="inlineStr">
        <is>
          <t>Audi A4 Avant</t>
        </is>
      </c>
      <c r="G4" s="3" t="inlineStr">
        <is>
          <t>Negociando</t>
        </is>
      </c>
      <c r="H4" s="3" t="inlineStr">
        <is>
          <t>Google</t>
        </is>
      </c>
      <c r="I4" s="8" t="n"/>
      <c r="J4" s="5" t="n">
        <v>2250</v>
      </c>
      <c r="K4" s="5" t="n">
        <v>500</v>
      </c>
      <c r="L4" s="6">
        <f>IF(J4="","",J4-K4)</f>
        <v/>
      </c>
      <c r="M4" s="8" t="n"/>
      <c r="N4" s="9" t="n"/>
      <c r="O4" s="9" t="n"/>
      <c r="P4" s="7">
        <f>IF(AND(N4&lt;&gt;"",O4&lt;&gt;""),O4-N4,"")</f>
        <v/>
      </c>
      <c r="Q4" s="3" t="inlineStr">
        <is>
          <t>Enviar 2 candidatos</t>
        </is>
      </c>
      <c r="R4" s="4" t="n">
        <v>46221</v>
      </c>
      <c r="S4" s="3" t="inlineStr">
        <is>
          <t>Busca familiar diésel</t>
        </is>
      </c>
    </row>
    <row r="5">
      <c r="A5" s="3" t="n">
        <v>3</v>
      </c>
      <c r="B5" s="4" t="n">
        <v>46211</v>
      </c>
      <c r="C5" s="3" t="inlineStr">
        <is>
          <t>Jose R.</t>
        </is>
      </c>
      <c r="D5" s="3" t="inlineStr">
        <is>
          <t>6XX333444</t>
        </is>
      </c>
      <c r="E5" s="3" t="inlineStr">
        <is>
          <t>Catálogo</t>
        </is>
      </c>
      <c r="F5" s="3" t="inlineStr">
        <is>
          <t>VW Golf GTI</t>
        </is>
      </c>
      <c r="G5" s="3" t="inlineStr">
        <is>
          <t>Presupuesto enviado</t>
        </is>
      </c>
      <c r="H5" s="3" t="inlineStr">
        <is>
          <t>TikTok</t>
        </is>
      </c>
      <c r="I5" s="5" t="n">
        <v>26500</v>
      </c>
      <c r="J5" s="5" t="n">
        <v>2000</v>
      </c>
      <c r="K5" s="5" t="n">
        <v>400</v>
      </c>
      <c r="L5" s="6">
        <f>IF(J5="","",J5-K5)</f>
        <v/>
      </c>
      <c r="M5" s="8" t="n"/>
      <c r="N5" s="9" t="n"/>
      <c r="O5" s="9" t="n"/>
      <c r="P5" s="7">
        <f>IF(AND(N5&lt;&gt;"",O5&lt;&gt;""),O5-N5,"")</f>
        <v/>
      </c>
      <c r="Q5" s="3" t="inlineStr">
        <is>
          <t>Seguimiento del presupuesto</t>
        </is>
      </c>
      <c r="R5" s="4" t="n">
        <v>46220</v>
      </c>
      <c r="S5" s="3" t="inlineStr"/>
    </row>
    <row r="6">
      <c r="A6" s="3" t="n">
        <v>4</v>
      </c>
      <c r="B6" s="4" t="n">
        <v>46215</v>
      </c>
      <c r="C6" s="3" t="inlineStr">
        <is>
          <t>Marta S.</t>
        </is>
      </c>
      <c r="D6" s="3" t="inlineStr">
        <is>
          <t>6XX555666</t>
        </is>
      </c>
      <c r="E6" s="3" t="inlineStr">
        <is>
          <t>Encargo</t>
        </is>
      </c>
      <c r="F6" s="3" t="inlineStr">
        <is>
          <t>Mercedes GLC</t>
        </is>
      </c>
      <c r="G6" s="3" t="inlineStr">
        <is>
          <t>Nuevo lead</t>
        </is>
      </c>
      <c r="H6" s="3" t="inlineStr">
        <is>
          <t>Referido</t>
        </is>
      </c>
      <c r="I6" s="8" t="n"/>
      <c r="J6" s="8" t="n"/>
      <c r="K6" s="8" t="n"/>
      <c r="L6" s="6">
        <f>IF(J6="","",J6-K6)</f>
        <v/>
      </c>
      <c r="M6" s="8" t="n"/>
      <c r="N6" s="9" t="n"/>
      <c r="O6" s="9" t="n"/>
      <c r="P6" s="7">
        <f>IF(AND(N6&lt;&gt;"",O6&lt;&gt;""),O6-N6,"")</f>
        <v/>
      </c>
      <c r="Q6" s="3" t="inlineStr">
        <is>
          <t>Hacer briefing</t>
        </is>
      </c>
      <c r="R6" s="4" t="n">
        <v>46219</v>
      </c>
      <c r="S6" s="3" t="inlineStr">
        <is>
          <t>Referida por Carlos M.</t>
        </is>
      </c>
    </row>
    <row r="7">
      <c r="A7" s="10" t="n"/>
      <c r="B7" s="9" t="n"/>
      <c r="C7" s="10" t="n"/>
      <c r="D7" s="10" t="n"/>
      <c r="E7" s="10" t="n"/>
      <c r="F7" s="10" t="n"/>
      <c r="G7" s="10" t="n"/>
      <c r="H7" s="10" t="n"/>
      <c r="I7" s="8" t="n"/>
      <c r="J7" s="8" t="n"/>
      <c r="K7" s="8" t="n"/>
      <c r="L7" s="6">
        <f>IF(J7="","",J7-K7)</f>
        <v/>
      </c>
      <c r="M7" s="8" t="n"/>
      <c r="N7" s="9" t="n"/>
      <c r="O7" s="9" t="n"/>
      <c r="P7" s="7">
        <f>IF(AND(N7&lt;&gt;"",O7&lt;&gt;""),O7-N7,"")</f>
        <v/>
      </c>
      <c r="Q7" s="10" t="n"/>
      <c r="R7" s="9" t="n"/>
      <c r="S7" s="10" t="n"/>
    </row>
    <row r="8">
      <c r="A8" s="10" t="n"/>
      <c r="B8" s="9" t="n"/>
      <c r="C8" s="10" t="n"/>
      <c r="D8" s="10" t="n"/>
      <c r="E8" s="10" t="n"/>
      <c r="F8" s="10" t="n"/>
      <c r="G8" s="10" t="n"/>
      <c r="H8" s="10" t="n"/>
      <c r="I8" s="8" t="n"/>
      <c r="J8" s="8" t="n"/>
      <c r="K8" s="8" t="n"/>
      <c r="L8" s="6">
        <f>IF(J8="","",J8-K8)</f>
        <v/>
      </c>
      <c r="M8" s="8" t="n"/>
      <c r="N8" s="9" t="n"/>
      <c r="O8" s="9" t="n"/>
      <c r="P8" s="7">
        <f>IF(AND(N8&lt;&gt;"",O8&lt;&gt;""),O8-N8,"")</f>
        <v/>
      </c>
      <c r="Q8" s="10" t="n"/>
      <c r="R8" s="9" t="n"/>
      <c r="S8" s="10" t="n"/>
    </row>
    <row r="9">
      <c r="A9" s="10" t="n"/>
      <c r="B9" s="9" t="n"/>
      <c r="C9" s="10" t="n"/>
      <c r="D9" s="10" t="n"/>
      <c r="E9" s="10" t="n"/>
      <c r="F9" s="10" t="n"/>
      <c r="G9" s="10" t="n"/>
      <c r="H9" s="10" t="n"/>
      <c r="I9" s="8" t="n"/>
      <c r="J9" s="8" t="n"/>
      <c r="K9" s="8" t="n"/>
      <c r="L9" s="6">
        <f>IF(J9="","",J9-K9)</f>
        <v/>
      </c>
      <c r="M9" s="8" t="n"/>
      <c r="N9" s="9" t="n"/>
      <c r="O9" s="9" t="n"/>
      <c r="P9" s="7">
        <f>IF(AND(N9&lt;&gt;"",O9&lt;&gt;""),O9-N9,"")</f>
        <v/>
      </c>
      <c r="Q9" s="10" t="n"/>
      <c r="R9" s="9" t="n"/>
      <c r="S9" s="10" t="n"/>
    </row>
    <row r="10">
      <c r="A10" s="10" t="n"/>
      <c r="B10" s="9" t="n"/>
      <c r="C10" s="10" t="n"/>
      <c r="D10" s="10" t="n"/>
      <c r="E10" s="10" t="n"/>
      <c r="F10" s="10" t="n"/>
      <c r="G10" s="10" t="n"/>
      <c r="H10" s="10" t="n"/>
      <c r="I10" s="8" t="n"/>
      <c r="J10" s="8" t="n"/>
      <c r="K10" s="8" t="n"/>
      <c r="L10" s="6">
        <f>IF(J10="","",J10-K10)</f>
        <v/>
      </c>
      <c r="M10" s="8" t="n"/>
      <c r="N10" s="9" t="n"/>
      <c r="O10" s="9" t="n"/>
      <c r="P10" s="7">
        <f>IF(AND(N10&lt;&gt;"",O10&lt;&gt;""),O10-N10,"")</f>
        <v/>
      </c>
      <c r="Q10" s="10" t="n"/>
      <c r="R10" s="9" t="n"/>
      <c r="S10" s="10" t="n"/>
    </row>
    <row r="11">
      <c r="A11" s="10" t="n"/>
      <c r="B11" s="9" t="n"/>
      <c r="C11" s="10" t="n"/>
      <c r="D11" s="10" t="n"/>
      <c r="E11" s="10" t="n"/>
      <c r="F11" s="10" t="n"/>
      <c r="G11" s="10" t="n"/>
      <c r="H11" s="10" t="n"/>
      <c r="I11" s="8" t="n"/>
      <c r="J11" s="8" t="n"/>
      <c r="K11" s="8" t="n"/>
      <c r="L11" s="6">
        <f>IF(J11="","",J11-K11)</f>
        <v/>
      </c>
      <c r="M11" s="8" t="n"/>
      <c r="N11" s="9" t="n"/>
      <c r="O11" s="9" t="n"/>
      <c r="P11" s="7">
        <f>IF(AND(N11&lt;&gt;"",O11&lt;&gt;""),O11-N11,"")</f>
        <v/>
      </c>
      <c r="Q11" s="10" t="n"/>
      <c r="R11" s="9" t="n"/>
      <c r="S11" s="10" t="n"/>
    </row>
    <row r="12">
      <c r="A12" s="10" t="n"/>
      <c r="B12" s="9" t="n"/>
      <c r="C12" s="10" t="n"/>
      <c r="D12" s="10" t="n"/>
      <c r="E12" s="10" t="n"/>
      <c r="F12" s="10" t="n"/>
      <c r="G12" s="10" t="n"/>
      <c r="H12" s="10" t="n"/>
      <c r="I12" s="8" t="n"/>
      <c r="J12" s="8" t="n"/>
      <c r="K12" s="8" t="n"/>
      <c r="L12" s="6">
        <f>IF(J12="","",J12-K12)</f>
        <v/>
      </c>
      <c r="M12" s="8" t="n"/>
      <c r="N12" s="9" t="n"/>
      <c r="O12" s="9" t="n"/>
      <c r="P12" s="7">
        <f>IF(AND(N12&lt;&gt;"",O12&lt;&gt;""),O12-N12,"")</f>
        <v/>
      </c>
      <c r="Q12" s="10" t="n"/>
      <c r="R12" s="9" t="n"/>
      <c r="S12" s="10" t="n"/>
    </row>
    <row r="13">
      <c r="A13" s="10" t="n"/>
      <c r="B13" s="9" t="n"/>
      <c r="C13" s="10" t="n"/>
      <c r="D13" s="10" t="n"/>
      <c r="E13" s="10" t="n"/>
      <c r="F13" s="10" t="n"/>
      <c r="G13" s="10" t="n"/>
      <c r="H13" s="10" t="n"/>
      <c r="I13" s="8" t="n"/>
      <c r="J13" s="8" t="n"/>
      <c r="K13" s="8" t="n"/>
      <c r="L13" s="6">
        <f>IF(J13="","",J13-K13)</f>
        <v/>
      </c>
      <c r="M13" s="8" t="n"/>
      <c r="N13" s="9" t="n"/>
      <c r="O13" s="9" t="n"/>
      <c r="P13" s="7">
        <f>IF(AND(N13&lt;&gt;"",O13&lt;&gt;""),O13-N13,"")</f>
        <v/>
      </c>
      <c r="Q13" s="10" t="n"/>
      <c r="R13" s="9" t="n"/>
      <c r="S13" s="10" t="n"/>
    </row>
    <row r="14">
      <c r="A14" s="10" t="n"/>
      <c r="B14" s="9" t="n"/>
      <c r="C14" s="10" t="n"/>
      <c r="D14" s="10" t="n"/>
      <c r="E14" s="10" t="n"/>
      <c r="F14" s="10" t="n"/>
      <c r="G14" s="10" t="n"/>
      <c r="H14" s="10" t="n"/>
      <c r="I14" s="8" t="n"/>
      <c r="J14" s="8" t="n"/>
      <c r="K14" s="8" t="n"/>
      <c r="L14" s="6">
        <f>IF(J14="","",J14-K14)</f>
        <v/>
      </c>
      <c r="M14" s="8" t="n"/>
      <c r="N14" s="9" t="n"/>
      <c r="O14" s="9" t="n"/>
      <c r="P14" s="7">
        <f>IF(AND(N14&lt;&gt;"",O14&lt;&gt;""),O14-N14,"")</f>
        <v/>
      </c>
      <c r="Q14" s="10" t="n"/>
      <c r="R14" s="9" t="n"/>
      <c r="S14" s="10" t="n"/>
    </row>
    <row r="15">
      <c r="A15" s="10" t="n"/>
      <c r="B15" s="9" t="n"/>
      <c r="C15" s="10" t="n"/>
      <c r="D15" s="10" t="n"/>
      <c r="E15" s="10" t="n"/>
      <c r="F15" s="10" t="n"/>
      <c r="G15" s="10" t="n"/>
      <c r="H15" s="10" t="n"/>
      <c r="I15" s="8" t="n"/>
      <c r="J15" s="8" t="n"/>
      <c r="K15" s="8" t="n"/>
      <c r="L15" s="6">
        <f>IF(J15="","",J15-K15)</f>
        <v/>
      </c>
      <c r="M15" s="8" t="n"/>
      <c r="N15" s="9" t="n"/>
      <c r="O15" s="9" t="n"/>
      <c r="P15" s="7">
        <f>IF(AND(N15&lt;&gt;"",O15&lt;&gt;""),O15-N15,"")</f>
        <v/>
      </c>
      <c r="Q15" s="10" t="n"/>
      <c r="R15" s="9" t="n"/>
      <c r="S15" s="10" t="n"/>
    </row>
    <row r="16">
      <c r="A16" s="10" t="n"/>
      <c r="B16" s="9" t="n"/>
      <c r="C16" s="10" t="n"/>
      <c r="D16" s="10" t="n"/>
      <c r="E16" s="10" t="n"/>
      <c r="F16" s="10" t="n"/>
      <c r="G16" s="10" t="n"/>
      <c r="H16" s="10" t="n"/>
      <c r="I16" s="8" t="n"/>
      <c r="J16" s="8" t="n"/>
      <c r="K16" s="8" t="n"/>
      <c r="L16" s="6">
        <f>IF(J16="","",J16-K16)</f>
        <v/>
      </c>
      <c r="M16" s="8" t="n"/>
      <c r="N16" s="9" t="n"/>
      <c r="O16" s="9" t="n"/>
      <c r="P16" s="7">
        <f>IF(AND(N16&lt;&gt;"",O16&lt;&gt;""),O16-N16,"")</f>
        <v/>
      </c>
      <c r="Q16" s="10" t="n"/>
      <c r="R16" s="9" t="n"/>
      <c r="S16" s="10" t="n"/>
    </row>
    <row r="17">
      <c r="A17" s="10" t="n"/>
      <c r="B17" s="9" t="n"/>
      <c r="C17" s="10" t="n"/>
      <c r="D17" s="10" t="n"/>
      <c r="E17" s="10" t="n"/>
      <c r="F17" s="10" t="n"/>
      <c r="G17" s="10" t="n"/>
      <c r="H17" s="10" t="n"/>
      <c r="I17" s="8" t="n"/>
      <c r="J17" s="8" t="n"/>
      <c r="K17" s="8" t="n"/>
      <c r="L17" s="6">
        <f>IF(J17="","",J17-K17)</f>
        <v/>
      </c>
      <c r="M17" s="8" t="n"/>
      <c r="N17" s="9" t="n"/>
      <c r="O17" s="9" t="n"/>
      <c r="P17" s="7">
        <f>IF(AND(N17&lt;&gt;"",O17&lt;&gt;""),O17-N17,"")</f>
        <v/>
      </c>
      <c r="Q17" s="10" t="n"/>
      <c r="R17" s="9" t="n"/>
      <c r="S17" s="10" t="n"/>
    </row>
    <row r="18">
      <c r="A18" s="10" t="n"/>
      <c r="B18" s="9" t="n"/>
      <c r="C18" s="10" t="n"/>
      <c r="D18" s="10" t="n"/>
      <c r="E18" s="10" t="n"/>
      <c r="F18" s="10" t="n"/>
      <c r="G18" s="10" t="n"/>
      <c r="H18" s="10" t="n"/>
      <c r="I18" s="8" t="n"/>
      <c r="J18" s="8" t="n"/>
      <c r="K18" s="8" t="n"/>
      <c r="L18" s="6">
        <f>IF(J18="","",J18-K18)</f>
        <v/>
      </c>
      <c r="M18" s="8" t="n"/>
      <c r="N18" s="9" t="n"/>
      <c r="O18" s="9" t="n"/>
      <c r="P18" s="7">
        <f>IF(AND(N18&lt;&gt;"",O18&lt;&gt;""),O18-N18,"")</f>
        <v/>
      </c>
      <c r="Q18" s="10" t="n"/>
      <c r="R18" s="9" t="n"/>
      <c r="S18" s="10" t="n"/>
    </row>
    <row r="19">
      <c r="A19" s="10" t="n"/>
      <c r="B19" s="9" t="n"/>
      <c r="C19" s="10" t="n"/>
      <c r="D19" s="10" t="n"/>
      <c r="E19" s="10" t="n"/>
      <c r="F19" s="10" t="n"/>
      <c r="G19" s="10" t="n"/>
      <c r="H19" s="10" t="n"/>
      <c r="I19" s="8" t="n"/>
      <c r="J19" s="8" t="n"/>
      <c r="K19" s="8" t="n"/>
      <c r="L19" s="6">
        <f>IF(J19="","",J19-K19)</f>
        <v/>
      </c>
      <c r="M19" s="8" t="n"/>
      <c r="N19" s="9" t="n"/>
      <c r="O19" s="9" t="n"/>
      <c r="P19" s="7">
        <f>IF(AND(N19&lt;&gt;"",O19&lt;&gt;""),O19-N19,"")</f>
        <v/>
      </c>
      <c r="Q19" s="10" t="n"/>
      <c r="R19" s="9" t="n"/>
      <c r="S19" s="10" t="n"/>
    </row>
    <row r="20">
      <c r="A20" s="10" t="n"/>
      <c r="B20" s="9" t="n"/>
      <c r="C20" s="10" t="n"/>
      <c r="D20" s="10" t="n"/>
      <c r="E20" s="10" t="n"/>
      <c r="F20" s="10" t="n"/>
      <c r="G20" s="10" t="n"/>
      <c r="H20" s="10" t="n"/>
      <c r="I20" s="8" t="n"/>
      <c r="J20" s="8" t="n"/>
      <c r="K20" s="8" t="n"/>
      <c r="L20" s="6">
        <f>IF(J20="","",J20-K20)</f>
        <v/>
      </c>
      <c r="M20" s="8" t="n"/>
      <c r="N20" s="9" t="n"/>
      <c r="O20" s="9" t="n"/>
      <c r="P20" s="7">
        <f>IF(AND(N20&lt;&gt;"",O20&lt;&gt;""),O20-N20,"")</f>
        <v/>
      </c>
      <c r="Q20" s="10" t="n"/>
      <c r="R20" s="9" t="n"/>
      <c r="S20" s="10" t="n"/>
    </row>
    <row r="21">
      <c r="A21" s="10" t="n"/>
      <c r="B21" s="9" t="n"/>
      <c r="C21" s="10" t="n"/>
      <c r="D21" s="10" t="n"/>
      <c r="E21" s="10" t="n"/>
      <c r="F21" s="10" t="n"/>
      <c r="G21" s="10" t="n"/>
      <c r="H21" s="10" t="n"/>
      <c r="I21" s="8" t="n"/>
      <c r="J21" s="8" t="n"/>
      <c r="K21" s="8" t="n"/>
      <c r="L21" s="6">
        <f>IF(J21="","",J21-K21)</f>
        <v/>
      </c>
      <c r="M21" s="8" t="n"/>
      <c r="N21" s="9" t="n"/>
      <c r="O21" s="9" t="n"/>
      <c r="P21" s="7">
        <f>IF(AND(N21&lt;&gt;"",O21&lt;&gt;""),O21-N21,"")</f>
        <v/>
      </c>
      <c r="Q21" s="10" t="n"/>
      <c r="R21" s="9" t="n"/>
      <c r="S21" s="10" t="n"/>
    </row>
    <row r="22">
      <c r="A22" s="10" t="n"/>
      <c r="B22" s="9" t="n"/>
      <c r="C22" s="10" t="n"/>
      <c r="D22" s="10" t="n"/>
      <c r="E22" s="10" t="n"/>
      <c r="F22" s="10" t="n"/>
      <c r="G22" s="10" t="n"/>
      <c r="H22" s="10" t="n"/>
      <c r="I22" s="8" t="n"/>
      <c r="J22" s="8" t="n"/>
      <c r="K22" s="8" t="n"/>
      <c r="L22" s="6">
        <f>IF(J22="","",J22-K22)</f>
        <v/>
      </c>
      <c r="M22" s="8" t="n"/>
      <c r="N22" s="9" t="n"/>
      <c r="O22" s="9" t="n"/>
      <c r="P22" s="7">
        <f>IF(AND(N22&lt;&gt;"",O22&lt;&gt;""),O22-N22,"")</f>
        <v/>
      </c>
      <c r="Q22" s="10" t="n"/>
      <c r="R22" s="9" t="n"/>
      <c r="S22" s="10" t="n"/>
    </row>
    <row r="23">
      <c r="A23" s="10" t="n"/>
      <c r="B23" s="9" t="n"/>
      <c r="C23" s="10" t="n"/>
      <c r="D23" s="10" t="n"/>
      <c r="E23" s="10" t="n"/>
      <c r="F23" s="10" t="n"/>
      <c r="G23" s="10" t="n"/>
      <c r="H23" s="10" t="n"/>
      <c r="I23" s="8" t="n"/>
      <c r="J23" s="8" t="n"/>
      <c r="K23" s="8" t="n"/>
      <c r="L23" s="6">
        <f>IF(J23="","",J23-K23)</f>
        <v/>
      </c>
      <c r="M23" s="8" t="n"/>
      <c r="N23" s="9" t="n"/>
      <c r="O23" s="9" t="n"/>
      <c r="P23" s="7">
        <f>IF(AND(N23&lt;&gt;"",O23&lt;&gt;""),O23-N23,"")</f>
        <v/>
      </c>
      <c r="Q23" s="10" t="n"/>
      <c r="R23" s="9" t="n"/>
      <c r="S23" s="10" t="n"/>
    </row>
    <row r="24">
      <c r="A24" s="10" t="n"/>
      <c r="B24" s="9" t="n"/>
      <c r="C24" s="10" t="n"/>
      <c r="D24" s="10" t="n"/>
      <c r="E24" s="10" t="n"/>
      <c r="F24" s="10" t="n"/>
      <c r="G24" s="10" t="n"/>
      <c r="H24" s="10" t="n"/>
      <c r="I24" s="8" t="n"/>
      <c r="J24" s="8" t="n"/>
      <c r="K24" s="8" t="n"/>
      <c r="L24" s="6">
        <f>IF(J24="","",J24-K24)</f>
        <v/>
      </c>
      <c r="M24" s="8" t="n"/>
      <c r="N24" s="9" t="n"/>
      <c r="O24" s="9" t="n"/>
      <c r="P24" s="7">
        <f>IF(AND(N24&lt;&gt;"",O24&lt;&gt;""),O24-N24,"")</f>
        <v/>
      </c>
      <c r="Q24" s="10" t="n"/>
      <c r="R24" s="9" t="n"/>
      <c r="S24" s="10" t="n"/>
    </row>
    <row r="25">
      <c r="A25" s="10" t="n"/>
      <c r="B25" s="9" t="n"/>
      <c r="C25" s="10" t="n"/>
      <c r="D25" s="10" t="n"/>
      <c r="E25" s="10" t="n"/>
      <c r="F25" s="10" t="n"/>
      <c r="G25" s="10" t="n"/>
      <c r="H25" s="10" t="n"/>
      <c r="I25" s="8" t="n"/>
      <c r="J25" s="8" t="n"/>
      <c r="K25" s="8" t="n"/>
      <c r="L25" s="6">
        <f>IF(J25="","",J25-K25)</f>
        <v/>
      </c>
      <c r="M25" s="8" t="n"/>
      <c r="N25" s="9" t="n"/>
      <c r="O25" s="9" t="n"/>
      <c r="P25" s="7">
        <f>IF(AND(N25&lt;&gt;"",O25&lt;&gt;""),O25-N25,"")</f>
        <v/>
      </c>
      <c r="Q25" s="10" t="n"/>
      <c r="R25" s="9" t="n"/>
      <c r="S25" s="10" t="n"/>
    </row>
    <row r="26">
      <c r="A26" s="10" t="n"/>
      <c r="B26" s="9" t="n"/>
      <c r="C26" s="10" t="n"/>
      <c r="D26" s="10" t="n"/>
      <c r="E26" s="10" t="n"/>
      <c r="F26" s="10" t="n"/>
      <c r="G26" s="10" t="n"/>
      <c r="H26" s="10" t="n"/>
      <c r="I26" s="8" t="n"/>
      <c r="J26" s="8" t="n"/>
      <c r="K26" s="8" t="n"/>
      <c r="L26" s="6">
        <f>IF(J26="","",J26-K26)</f>
        <v/>
      </c>
      <c r="M26" s="8" t="n"/>
      <c r="N26" s="9" t="n"/>
      <c r="O26" s="9" t="n"/>
      <c r="P26" s="7">
        <f>IF(AND(N26&lt;&gt;"",O26&lt;&gt;""),O26-N26,"")</f>
        <v/>
      </c>
      <c r="Q26" s="10" t="n"/>
      <c r="R26" s="9" t="n"/>
      <c r="S26" s="10" t="n"/>
    </row>
    <row r="27">
      <c r="A27" s="10" t="n"/>
      <c r="B27" s="9" t="n"/>
      <c r="C27" s="10" t="n"/>
      <c r="D27" s="10" t="n"/>
      <c r="E27" s="10" t="n"/>
      <c r="F27" s="10" t="n"/>
      <c r="G27" s="10" t="n"/>
      <c r="H27" s="10" t="n"/>
      <c r="I27" s="8" t="n"/>
      <c r="J27" s="8" t="n"/>
      <c r="K27" s="8" t="n"/>
      <c r="L27" s="6">
        <f>IF(J27="","",J27-K27)</f>
        <v/>
      </c>
      <c r="M27" s="8" t="n"/>
      <c r="N27" s="9" t="n"/>
      <c r="O27" s="9" t="n"/>
      <c r="P27" s="7">
        <f>IF(AND(N27&lt;&gt;"",O27&lt;&gt;""),O27-N27,"")</f>
        <v/>
      </c>
      <c r="Q27" s="10" t="n"/>
      <c r="R27" s="9" t="n"/>
      <c r="S27" s="10" t="n"/>
    </row>
    <row r="28">
      <c r="A28" s="10" t="n"/>
      <c r="B28" s="9" t="n"/>
      <c r="C28" s="10" t="n"/>
      <c r="D28" s="10" t="n"/>
      <c r="E28" s="10" t="n"/>
      <c r="F28" s="10" t="n"/>
      <c r="G28" s="10" t="n"/>
      <c r="H28" s="10" t="n"/>
      <c r="I28" s="8" t="n"/>
      <c r="J28" s="8" t="n"/>
      <c r="K28" s="8" t="n"/>
      <c r="L28" s="6">
        <f>IF(J28="","",J28-K28)</f>
        <v/>
      </c>
      <c r="M28" s="8" t="n"/>
      <c r="N28" s="9" t="n"/>
      <c r="O28" s="9" t="n"/>
      <c r="P28" s="7">
        <f>IF(AND(N28&lt;&gt;"",O28&lt;&gt;""),O28-N28,"")</f>
        <v/>
      </c>
      <c r="Q28" s="10" t="n"/>
      <c r="R28" s="9" t="n"/>
      <c r="S28" s="10" t="n"/>
    </row>
    <row r="29">
      <c r="A29" s="10" t="n"/>
      <c r="B29" s="9" t="n"/>
      <c r="C29" s="10" t="n"/>
      <c r="D29" s="10" t="n"/>
      <c r="E29" s="10" t="n"/>
      <c r="F29" s="10" t="n"/>
      <c r="G29" s="10" t="n"/>
      <c r="H29" s="10" t="n"/>
      <c r="I29" s="8" t="n"/>
      <c r="J29" s="8" t="n"/>
      <c r="K29" s="8" t="n"/>
      <c r="L29" s="6">
        <f>IF(J29="","",J29-K29)</f>
        <v/>
      </c>
      <c r="M29" s="8" t="n"/>
      <c r="N29" s="9" t="n"/>
      <c r="O29" s="9" t="n"/>
      <c r="P29" s="7">
        <f>IF(AND(N29&lt;&gt;"",O29&lt;&gt;""),O29-N29,"")</f>
        <v/>
      </c>
      <c r="Q29" s="10" t="n"/>
      <c r="R29" s="9" t="n"/>
      <c r="S29" s="10" t="n"/>
    </row>
    <row r="30">
      <c r="A30" s="10" t="n"/>
      <c r="B30" s="9" t="n"/>
      <c r="C30" s="10" t="n"/>
      <c r="D30" s="10" t="n"/>
      <c r="E30" s="10" t="n"/>
      <c r="F30" s="10" t="n"/>
      <c r="G30" s="10" t="n"/>
      <c r="H30" s="10" t="n"/>
      <c r="I30" s="8" t="n"/>
      <c r="J30" s="8" t="n"/>
      <c r="K30" s="8" t="n"/>
      <c r="L30" s="6">
        <f>IF(J30="","",J30-K30)</f>
        <v/>
      </c>
      <c r="M30" s="8" t="n"/>
      <c r="N30" s="9" t="n"/>
      <c r="O30" s="9" t="n"/>
      <c r="P30" s="7">
        <f>IF(AND(N30&lt;&gt;"",O30&lt;&gt;""),O30-N30,"")</f>
        <v/>
      </c>
      <c r="Q30" s="10" t="n"/>
      <c r="R30" s="9" t="n"/>
      <c r="S30" s="10" t="n"/>
    </row>
    <row r="31">
      <c r="A31" s="10" t="n"/>
      <c r="B31" s="9" t="n"/>
      <c r="C31" s="10" t="n"/>
      <c r="D31" s="10" t="n"/>
      <c r="E31" s="10" t="n"/>
      <c r="F31" s="10" t="n"/>
      <c r="G31" s="10" t="n"/>
      <c r="H31" s="10" t="n"/>
      <c r="I31" s="8" t="n"/>
      <c r="J31" s="8" t="n"/>
      <c r="K31" s="8" t="n"/>
      <c r="L31" s="6">
        <f>IF(J31="","",J31-K31)</f>
        <v/>
      </c>
      <c r="M31" s="8" t="n"/>
      <c r="N31" s="9" t="n"/>
      <c r="O31" s="9" t="n"/>
      <c r="P31" s="7">
        <f>IF(AND(N31&lt;&gt;"",O31&lt;&gt;""),O31-N31,"")</f>
        <v/>
      </c>
      <c r="Q31" s="10" t="n"/>
      <c r="R31" s="9" t="n"/>
      <c r="S31" s="10" t="n"/>
    </row>
    <row r="32">
      <c r="A32" s="10" t="n"/>
      <c r="B32" s="9" t="n"/>
      <c r="C32" s="10" t="n"/>
      <c r="D32" s="10" t="n"/>
      <c r="E32" s="10" t="n"/>
      <c r="F32" s="10" t="n"/>
      <c r="G32" s="10" t="n"/>
      <c r="H32" s="10" t="n"/>
      <c r="I32" s="8" t="n"/>
      <c r="J32" s="8" t="n"/>
      <c r="K32" s="8" t="n"/>
      <c r="L32" s="6">
        <f>IF(J32="","",J32-K32)</f>
        <v/>
      </c>
      <c r="M32" s="8" t="n"/>
      <c r="N32" s="9" t="n"/>
      <c r="O32" s="9" t="n"/>
      <c r="P32" s="7">
        <f>IF(AND(N32&lt;&gt;"",O32&lt;&gt;""),O32-N32,"")</f>
        <v/>
      </c>
      <c r="Q32" s="10" t="n"/>
      <c r="R32" s="9" t="n"/>
      <c r="S32" s="10" t="n"/>
    </row>
    <row r="33">
      <c r="A33" s="10" t="n"/>
      <c r="B33" s="9" t="n"/>
      <c r="C33" s="10" t="n"/>
      <c r="D33" s="10" t="n"/>
      <c r="E33" s="10" t="n"/>
      <c r="F33" s="10" t="n"/>
      <c r="G33" s="10" t="n"/>
      <c r="H33" s="10" t="n"/>
      <c r="I33" s="8" t="n"/>
      <c r="J33" s="8" t="n"/>
      <c r="K33" s="8" t="n"/>
      <c r="L33" s="6">
        <f>IF(J33="","",J33-K33)</f>
        <v/>
      </c>
      <c r="M33" s="8" t="n"/>
      <c r="N33" s="9" t="n"/>
      <c r="O33" s="9" t="n"/>
      <c r="P33" s="7">
        <f>IF(AND(N33&lt;&gt;"",O33&lt;&gt;""),O33-N33,"")</f>
        <v/>
      </c>
      <c r="Q33" s="10" t="n"/>
      <c r="R33" s="9" t="n"/>
      <c r="S33" s="10" t="n"/>
    </row>
    <row r="34">
      <c r="A34" s="10" t="n"/>
      <c r="B34" s="9" t="n"/>
      <c r="C34" s="10" t="n"/>
      <c r="D34" s="10" t="n"/>
      <c r="E34" s="10" t="n"/>
      <c r="F34" s="10" t="n"/>
      <c r="G34" s="10" t="n"/>
      <c r="H34" s="10" t="n"/>
      <c r="I34" s="8" t="n"/>
      <c r="J34" s="8" t="n"/>
      <c r="K34" s="8" t="n"/>
      <c r="L34" s="6">
        <f>IF(J34="","",J34-K34)</f>
        <v/>
      </c>
      <c r="M34" s="8" t="n"/>
      <c r="N34" s="9" t="n"/>
      <c r="O34" s="9" t="n"/>
      <c r="P34" s="7">
        <f>IF(AND(N34&lt;&gt;"",O34&lt;&gt;""),O34-N34,"")</f>
        <v/>
      </c>
      <c r="Q34" s="10" t="n"/>
      <c r="R34" s="9" t="n"/>
      <c r="S34" s="10" t="n"/>
    </row>
    <row r="35">
      <c r="A35" s="10" t="n"/>
      <c r="B35" s="9" t="n"/>
      <c r="C35" s="10" t="n"/>
      <c r="D35" s="10" t="n"/>
      <c r="E35" s="10" t="n"/>
      <c r="F35" s="10" t="n"/>
      <c r="G35" s="10" t="n"/>
      <c r="H35" s="10" t="n"/>
      <c r="I35" s="8" t="n"/>
      <c r="J35" s="8" t="n"/>
      <c r="K35" s="8" t="n"/>
      <c r="L35" s="6">
        <f>IF(J35="","",J35-K35)</f>
        <v/>
      </c>
      <c r="M35" s="8" t="n"/>
      <c r="N35" s="9" t="n"/>
      <c r="O35" s="9" t="n"/>
      <c r="P35" s="7">
        <f>IF(AND(N35&lt;&gt;"",O35&lt;&gt;""),O35-N35,"")</f>
        <v/>
      </c>
      <c r="Q35" s="10" t="n"/>
      <c r="R35" s="9" t="n"/>
      <c r="S35" s="10" t="n"/>
    </row>
    <row r="36">
      <c r="A36" s="10" t="n"/>
      <c r="B36" s="9" t="n"/>
      <c r="C36" s="10" t="n"/>
      <c r="D36" s="10" t="n"/>
      <c r="E36" s="10" t="n"/>
      <c r="F36" s="10" t="n"/>
      <c r="G36" s="10" t="n"/>
      <c r="H36" s="10" t="n"/>
      <c r="I36" s="8" t="n"/>
      <c r="J36" s="8" t="n"/>
      <c r="K36" s="8" t="n"/>
      <c r="L36" s="6">
        <f>IF(J36="","",J36-K36)</f>
        <v/>
      </c>
      <c r="M36" s="8" t="n"/>
      <c r="N36" s="9" t="n"/>
      <c r="O36" s="9" t="n"/>
      <c r="P36" s="7">
        <f>IF(AND(N36&lt;&gt;"",O36&lt;&gt;""),O36-N36,"")</f>
        <v/>
      </c>
      <c r="Q36" s="10" t="n"/>
      <c r="R36" s="9" t="n"/>
      <c r="S36" s="10" t="n"/>
    </row>
    <row r="37">
      <c r="A37" s="10" t="n"/>
      <c r="B37" s="9" t="n"/>
      <c r="C37" s="10" t="n"/>
      <c r="D37" s="10" t="n"/>
      <c r="E37" s="10" t="n"/>
      <c r="F37" s="10" t="n"/>
      <c r="G37" s="10" t="n"/>
      <c r="H37" s="10" t="n"/>
      <c r="I37" s="8" t="n"/>
      <c r="J37" s="8" t="n"/>
      <c r="K37" s="8" t="n"/>
      <c r="L37" s="6">
        <f>IF(J37="","",J37-K37)</f>
        <v/>
      </c>
      <c r="M37" s="8" t="n"/>
      <c r="N37" s="9" t="n"/>
      <c r="O37" s="9" t="n"/>
      <c r="P37" s="7">
        <f>IF(AND(N37&lt;&gt;"",O37&lt;&gt;""),O37-N37,"")</f>
        <v/>
      </c>
      <c r="Q37" s="10" t="n"/>
      <c r="R37" s="9" t="n"/>
      <c r="S37" s="10" t="n"/>
    </row>
    <row r="38">
      <c r="A38" s="10" t="n"/>
      <c r="B38" s="9" t="n"/>
      <c r="C38" s="10" t="n"/>
      <c r="D38" s="10" t="n"/>
      <c r="E38" s="10" t="n"/>
      <c r="F38" s="10" t="n"/>
      <c r="G38" s="10" t="n"/>
      <c r="H38" s="10" t="n"/>
      <c r="I38" s="8" t="n"/>
      <c r="J38" s="8" t="n"/>
      <c r="K38" s="8" t="n"/>
      <c r="L38" s="6">
        <f>IF(J38="","",J38-K38)</f>
        <v/>
      </c>
      <c r="M38" s="8" t="n"/>
      <c r="N38" s="9" t="n"/>
      <c r="O38" s="9" t="n"/>
      <c r="P38" s="7">
        <f>IF(AND(N38&lt;&gt;"",O38&lt;&gt;""),O38-N38,"")</f>
        <v/>
      </c>
      <c r="Q38" s="10" t="n"/>
      <c r="R38" s="9" t="n"/>
      <c r="S38" s="10" t="n"/>
    </row>
    <row r="39">
      <c r="A39" s="10" t="n"/>
      <c r="B39" s="9" t="n"/>
      <c r="C39" s="10" t="n"/>
      <c r="D39" s="10" t="n"/>
      <c r="E39" s="10" t="n"/>
      <c r="F39" s="10" t="n"/>
      <c r="G39" s="10" t="n"/>
      <c r="H39" s="10" t="n"/>
      <c r="I39" s="8" t="n"/>
      <c r="J39" s="8" t="n"/>
      <c r="K39" s="8" t="n"/>
      <c r="L39" s="6">
        <f>IF(J39="","",J39-K39)</f>
        <v/>
      </c>
      <c r="M39" s="8" t="n"/>
      <c r="N39" s="9" t="n"/>
      <c r="O39" s="9" t="n"/>
      <c r="P39" s="7">
        <f>IF(AND(N39&lt;&gt;"",O39&lt;&gt;""),O39-N39,"")</f>
        <v/>
      </c>
      <c r="Q39" s="10" t="n"/>
      <c r="R39" s="9" t="n"/>
      <c r="S39" s="10" t="n"/>
    </row>
    <row r="40">
      <c r="A40" s="10" t="n"/>
      <c r="B40" s="9" t="n"/>
      <c r="C40" s="10" t="n"/>
      <c r="D40" s="10" t="n"/>
      <c r="E40" s="10" t="n"/>
      <c r="F40" s="10" t="n"/>
      <c r="G40" s="10" t="n"/>
      <c r="H40" s="10" t="n"/>
      <c r="I40" s="8" t="n"/>
      <c r="J40" s="8" t="n"/>
      <c r="K40" s="8" t="n"/>
      <c r="L40" s="6">
        <f>IF(J40="","",J40-K40)</f>
        <v/>
      </c>
      <c r="M40" s="8" t="n"/>
      <c r="N40" s="9" t="n"/>
      <c r="O40" s="9" t="n"/>
      <c r="P40" s="7">
        <f>IF(AND(N40&lt;&gt;"",O40&lt;&gt;""),O40-N40,"")</f>
        <v/>
      </c>
      <c r="Q40" s="10" t="n"/>
      <c r="R40" s="9" t="n"/>
      <c r="S40" s="10" t="n"/>
    </row>
    <row r="41">
      <c r="A41" s="10" t="n"/>
      <c r="B41" s="9" t="n"/>
      <c r="C41" s="10" t="n"/>
      <c r="D41" s="10" t="n"/>
      <c r="E41" s="10" t="n"/>
      <c r="F41" s="10" t="n"/>
      <c r="G41" s="10" t="n"/>
      <c r="H41" s="10" t="n"/>
      <c r="I41" s="8" t="n"/>
      <c r="J41" s="8" t="n"/>
      <c r="K41" s="8" t="n"/>
      <c r="L41" s="6">
        <f>IF(J41="","",J41-K41)</f>
        <v/>
      </c>
      <c r="M41" s="8" t="n"/>
      <c r="N41" s="9" t="n"/>
      <c r="O41" s="9" t="n"/>
      <c r="P41" s="7">
        <f>IF(AND(N41&lt;&gt;"",O41&lt;&gt;""),O41-N41,"")</f>
        <v/>
      </c>
      <c r="Q41" s="10" t="n"/>
      <c r="R41" s="9" t="n"/>
      <c r="S41" s="10" t="n"/>
    </row>
    <row r="42">
      <c r="A42" s="10" t="n"/>
      <c r="B42" s="9" t="n"/>
      <c r="C42" s="10" t="n"/>
      <c r="D42" s="10" t="n"/>
      <c r="E42" s="10" t="n"/>
      <c r="F42" s="10" t="n"/>
      <c r="G42" s="10" t="n"/>
      <c r="H42" s="10" t="n"/>
      <c r="I42" s="8" t="n"/>
      <c r="J42" s="8" t="n"/>
      <c r="K42" s="8" t="n"/>
      <c r="L42" s="6">
        <f>IF(J42="","",J42-K42)</f>
        <v/>
      </c>
      <c r="M42" s="8" t="n"/>
      <c r="N42" s="9" t="n"/>
      <c r="O42" s="9" t="n"/>
      <c r="P42" s="7">
        <f>IF(AND(N42&lt;&gt;"",O42&lt;&gt;""),O42-N42,"")</f>
        <v/>
      </c>
      <c r="Q42" s="10" t="n"/>
      <c r="R42" s="9" t="n"/>
      <c r="S42" s="10" t="n"/>
    </row>
    <row r="43">
      <c r="A43" s="10" t="n"/>
      <c r="B43" s="9" t="n"/>
      <c r="C43" s="10" t="n"/>
      <c r="D43" s="10" t="n"/>
      <c r="E43" s="10" t="n"/>
      <c r="F43" s="10" t="n"/>
      <c r="G43" s="10" t="n"/>
      <c r="H43" s="10" t="n"/>
      <c r="I43" s="8" t="n"/>
      <c r="J43" s="8" t="n"/>
      <c r="K43" s="8" t="n"/>
      <c r="L43" s="6">
        <f>IF(J43="","",J43-K43)</f>
        <v/>
      </c>
      <c r="M43" s="8" t="n"/>
      <c r="N43" s="9" t="n"/>
      <c r="O43" s="9" t="n"/>
      <c r="P43" s="7">
        <f>IF(AND(N43&lt;&gt;"",O43&lt;&gt;""),O43-N43,"")</f>
        <v/>
      </c>
      <c r="Q43" s="10" t="n"/>
      <c r="R43" s="9" t="n"/>
      <c r="S43" s="10" t="n"/>
    </row>
    <row r="44">
      <c r="A44" s="10" t="n"/>
      <c r="B44" s="9" t="n"/>
      <c r="C44" s="10" t="n"/>
      <c r="D44" s="10" t="n"/>
      <c r="E44" s="10" t="n"/>
      <c r="F44" s="10" t="n"/>
      <c r="G44" s="10" t="n"/>
      <c r="H44" s="10" t="n"/>
      <c r="I44" s="8" t="n"/>
      <c r="J44" s="8" t="n"/>
      <c r="K44" s="8" t="n"/>
      <c r="L44" s="6">
        <f>IF(J44="","",J44-K44)</f>
        <v/>
      </c>
      <c r="M44" s="8" t="n"/>
      <c r="N44" s="9" t="n"/>
      <c r="O44" s="9" t="n"/>
      <c r="P44" s="7">
        <f>IF(AND(N44&lt;&gt;"",O44&lt;&gt;""),O44-N44,"")</f>
        <v/>
      </c>
      <c r="Q44" s="10" t="n"/>
      <c r="R44" s="9" t="n"/>
      <c r="S44" s="10" t="n"/>
    </row>
    <row r="45">
      <c r="A45" s="10" t="n"/>
      <c r="B45" s="9" t="n"/>
      <c r="C45" s="10" t="n"/>
      <c r="D45" s="10" t="n"/>
      <c r="E45" s="10" t="n"/>
      <c r="F45" s="10" t="n"/>
      <c r="G45" s="10" t="n"/>
      <c r="H45" s="10" t="n"/>
      <c r="I45" s="8" t="n"/>
      <c r="J45" s="8" t="n"/>
      <c r="K45" s="8" t="n"/>
      <c r="L45" s="6">
        <f>IF(J45="","",J45-K45)</f>
        <v/>
      </c>
      <c r="M45" s="8" t="n"/>
      <c r="N45" s="9" t="n"/>
      <c r="O45" s="9" t="n"/>
      <c r="P45" s="7">
        <f>IF(AND(N45&lt;&gt;"",O45&lt;&gt;""),O45-N45,"")</f>
        <v/>
      </c>
      <c r="Q45" s="10" t="n"/>
      <c r="R45" s="9" t="n"/>
      <c r="S45" s="10" t="n"/>
    </row>
    <row r="46">
      <c r="A46" s="10" t="n"/>
      <c r="B46" s="9" t="n"/>
      <c r="C46" s="10" t="n"/>
      <c r="D46" s="10" t="n"/>
      <c r="E46" s="10" t="n"/>
      <c r="F46" s="10" t="n"/>
      <c r="G46" s="10" t="n"/>
      <c r="H46" s="10" t="n"/>
      <c r="I46" s="8" t="n"/>
      <c r="J46" s="8" t="n"/>
      <c r="K46" s="8" t="n"/>
      <c r="L46" s="6">
        <f>IF(J46="","",J46-K46)</f>
        <v/>
      </c>
      <c r="M46" s="8" t="n"/>
      <c r="N46" s="9" t="n"/>
      <c r="O46" s="9" t="n"/>
      <c r="P46" s="7">
        <f>IF(AND(N46&lt;&gt;"",O46&lt;&gt;""),O46-N46,"")</f>
        <v/>
      </c>
      <c r="Q46" s="10" t="n"/>
      <c r="R46" s="9" t="n"/>
      <c r="S46" s="10" t="n"/>
    </row>
    <row r="47">
      <c r="A47" s="10" t="n"/>
      <c r="B47" s="9" t="n"/>
      <c r="C47" s="10" t="n"/>
      <c r="D47" s="10" t="n"/>
      <c r="E47" s="10" t="n"/>
      <c r="F47" s="10" t="n"/>
      <c r="G47" s="10" t="n"/>
      <c r="H47" s="10" t="n"/>
      <c r="I47" s="8" t="n"/>
      <c r="J47" s="8" t="n"/>
      <c r="K47" s="8" t="n"/>
      <c r="L47" s="6">
        <f>IF(J47="","",J47-K47)</f>
        <v/>
      </c>
      <c r="M47" s="8" t="n"/>
      <c r="N47" s="9" t="n"/>
      <c r="O47" s="9" t="n"/>
      <c r="P47" s="7">
        <f>IF(AND(N47&lt;&gt;"",O47&lt;&gt;""),O47-N47,"")</f>
        <v/>
      </c>
      <c r="Q47" s="10" t="n"/>
      <c r="R47" s="9" t="n"/>
      <c r="S47" s="10" t="n"/>
    </row>
    <row r="48">
      <c r="A48" s="10" t="n"/>
      <c r="B48" s="9" t="n"/>
      <c r="C48" s="10" t="n"/>
      <c r="D48" s="10" t="n"/>
      <c r="E48" s="10" t="n"/>
      <c r="F48" s="10" t="n"/>
      <c r="G48" s="10" t="n"/>
      <c r="H48" s="10" t="n"/>
      <c r="I48" s="8" t="n"/>
      <c r="J48" s="8" t="n"/>
      <c r="K48" s="8" t="n"/>
      <c r="L48" s="6">
        <f>IF(J48="","",J48-K48)</f>
        <v/>
      </c>
      <c r="M48" s="8" t="n"/>
      <c r="N48" s="9" t="n"/>
      <c r="O48" s="9" t="n"/>
      <c r="P48" s="7">
        <f>IF(AND(N48&lt;&gt;"",O48&lt;&gt;""),O48-N48,"")</f>
        <v/>
      </c>
      <c r="Q48" s="10" t="n"/>
      <c r="R48" s="9" t="n"/>
      <c r="S48" s="10" t="n"/>
    </row>
    <row r="49">
      <c r="A49" s="10" t="n"/>
      <c r="B49" s="9" t="n"/>
      <c r="C49" s="10" t="n"/>
      <c r="D49" s="10" t="n"/>
      <c r="E49" s="10" t="n"/>
      <c r="F49" s="10" t="n"/>
      <c r="G49" s="10" t="n"/>
      <c r="H49" s="10" t="n"/>
      <c r="I49" s="8" t="n"/>
      <c r="J49" s="8" t="n"/>
      <c r="K49" s="8" t="n"/>
      <c r="L49" s="6">
        <f>IF(J49="","",J49-K49)</f>
        <v/>
      </c>
      <c r="M49" s="8" t="n"/>
      <c r="N49" s="9" t="n"/>
      <c r="O49" s="9" t="n"/>
      <c r="P49" s="7">
        <f>IF(AND(N49&lt;&gt;"",O49&lt;&gt;""),O49-N49,"")</f>
        <v/>
      </c>
      <c r="Q49" s="10" t="n"/>
      <c r="R49" s="9" t="n"/>
      <c r="S49" s="10" t="n"/>
    </row>
    <row r="50">
      <c r="A50" s="10" t="n"/>
      <c r="B50" s="9" t="n"/>
      <c r="C50" s="10" t="n"/>
      <c r="D50" s="10" t="n"/>
      <c r="E50" s="10" t="n"/>
      <c r="F50" s="10" t="n"/>
      <c r="G50" s="10" t="n"/>
      <c r="H50" s="10" t="n"/>
      <c r="I50" s="8" t="n"/>
      <c r="J50" s="8" t="n"/>
      <c r="K50" s="8" t="n"/>
      <c r="L50" s="6">
        <f>IF(J50="","",J50-K50)</f>
        <v/>
      </c>
      <c r="M50" s="8" t="n"/>
      <c r="N50" s="9" t="n"/>
      <c r="O50" s="9" t="n"/>
      <c r="P50" s="7">
        <f>IF(AND(N50&lt;&gt;"",O50&lt;&gt;""),O50-N50,"")</f>
        <v/>
      </c>
      <c r="Q50" s="10" t="n"/>
      <c r="R50" s="9" t="n"/>
      <c r="S50" s="10" t="n"/>
    </row>
    <row r="51">
      <c r="A51" s="10" t="n"/>
      <c r="B51" s="9" t="n"/>
      <c r="C51" s="10" t="n"/>
      <c r="D51" s="10" t="n"/>
      <c r="E51" s="10" t="n"/>
      <c r="F51" s="10" t="n"/>
      <c r="G51" s="10" t="n"/>
      <c r="H51" s="10" t="n"/>
      <c r="I51" s="8" t="n"/>
      <c r="J51" s="8" t="n"/>
      <c r="K51" s="8" t="n"/>
      <c r="L51" s="6">
        <f>IF(J51="","",J51-K51)</f>
        <v/>
      </c>
      <c r="M51" s="8" t="n"/>
      <c r="N51" s="9" t="n"/>
      <c r="O51" s="9" t="n"/>
      <c r="P51" s="7">
        <f>IF(AND(N51&lt;&gt;"",O51&lt;&gt;""),O51-N51,"")</f>
        <v/>
      </c>
      <c r="Q51" s="10" t="n"/>
      <c r="R51" s="9" t="n"/>
      <c r="S51" s="10" t="n"/>
    </row>
    <row r="52">
      <c r="A52" s="10" t="n"/>
      <c r="B52" s="9" t="n"/>
      <c r="C52" s="10" t="n"/>
      <c r="D52" s="10" t="n"/>
      <c r="E52" s="10" t="n"/>
      <c r="F52" s="10" t="n"/>
      <c r="G52" s="10" t="n"/>
      <c r="H52" s="10" t="n"/>
      <c r="I52" s="8" t="n"/>
      <c r="J52" s="8" t="n"/>
      <c r="K52" s="8" t="n"/>
      <c r="L52" s="6">
        <f>IF(J52="","",J52-K52)</f>
        <v/>
      </c>
      <c r="M52" s="8" t="n"/>
      <c r="N52" s="9" t="n"/>
      <c r="O52" s="9" t="n"/>
      <c r="P52" s="7">
        <f>IF(AND(N52&lt;&gt;"",O52&lt;&gt;""),O52-N52,"")</f>
        <v/>
      </c>
      <c r="Q52" s="10" t="n"/>
      <c r="R52" s="9" t="n"/>
      <c r="S52" s="10" t="n"/>
    </row>
    <row r="53">
      <c r="A53" s="10" t="n"/>
      <c r="B53" s="9" t="n"/>
      <c r="C53" s="10" t="n"/>
      <c r="D53" s="10" t="n"/>
      <c r="E53" s="10" t="n"/>
      <c r="F53" s="10" t="n"/>
      <c r="G53" s="10" t="n"/>
      <c r="H53" s="10" t="n"/>
      <c r="I53" s="8" t="n"/>
      <c r="J53" s="8" t="n"/>
      <c r="K53" s="8" t="n"/>
      <c r="L53" s="6">
        <f>IF(J53="","",J53-K53)</f>
        <v/>
      </c>
      <c r="M53" s="8" t="n"/>
      <c r="N53" s="9" t="n"/>
      <c r="O53" s="9" t="n"/>
      <c r="P53" s="7">
        <f>IF(AND(N53&lt;&gt;"",O53&lt;&gt;""),O53-N53,"")</f>
        <v/>
      </c>
      <c r="Q53" s="10" t="n"/>
      <c r="R53" s="9" t="n"/>
      <c r="S53" s="10" t="n"/>
    </row>
    <row r="54">
      <c r="A54" s="10" t="n"/>
      <c r="B54" s="9" t="n"/>
      <c r="C54" s="10" t="n"/>
      <c r="D54" s="10" t="n"/>
      <c r="E54" s="10" t="n"/>
      <c r="F54" s="10" t="n"/>
      <c r="G54" s="10" t="n"/>
      <c r="H54" s="10" t="n"/>
      <c r="I54" s="8" t="n"/>
      <c r="J54" s="8" t="n"/>
      <c r="K54" s="8" t="n"/>
      <c r="L54" s="6">
        <f>IF(J54="","",J54-K54)</f>
        <v/>
      </c>
      <c r="M54" s="8" t="n"/>
      <c r="N54" s="9" t="n"/>
      <c r="O54" s="9" t="n"/>
      <c r="P54" s="7">
        <f>IF(AND(N54&lt;&gt;"",O54&lt;&gt;""),O54-N54,"")</f>
        <v/>
      </c>
      <c r="Q54" s="10" t="n"/>
      <c r="R54" s="9" t="n"/>
      <c r="S54" s="10" t="n"/>
    </row>
    <row r="55">
      <c r="A55" s="10" t="n"/>
      <c r="B55" s="9" t="n"/>
      <c r="C55" s="10" t="n"/>
      <c r="D55" s="10" t="n"/>
      <c r="E55" s="10" t="n"/>
      <c r="F55" s="10" t="n"/>
      <c r="G55" s="10" t="n"/>
      <c r="H55" s="10" t="n"/>
      <c r="I55" s="8" t="n"/>
      <c r="J55" s="8" t="n"/>
      <c r="K55" s="8" t="n"/>
      <c r="L55" s="6">
        <f>IF(J55="","",J55-K55)</f>
        <v/>
      </c>
      <c r="M55" s="8" t="n"/>
      <c r="N55" s="9" t="n"/>
      <c r="O55" s="9" t="n"/>
      <c r="P55" s="7">
        <f>IF(AND(N55&lt;&gt;"",O55&lt;&gt;""),O55-N55,"")</f>
        <v/>
      </c>
      <c r="Q55" s="10" t="n"/>
      <c r="R55" s="9" t="n"/>
      <c r="S55" s="10" t="n"/>
    </row>
    <row r="56">
      <c r="A56" s="10" t="n"/>
      <c r="B56" s="9" t="n"/>
      <c r="C56" s="10" t="n"/>
      <c r="D56" s="10" t="n"/>
      <c r="E56" s="10" t="n"/>
      <c r="F56" s="10" t="n"/>
      <c r="G56" s="10" t="n"/>
      <c r="H56" s="10" t="n"/>
      <c r="I56" s="8" t="n"/>
      <c r="J56" s="8" t="n"/>
      <c r="K56" s="8" t="n"/>
      <c r="L56" s="6">
        <f>IF(J56="","",J56-K56)</f>
        <v/>
      </c>
      <c r="M56" s="8" t="n"/>
      <c r="N56" s="9" t="n"/>
      <c r="O56" s="9" t="n"/>
      <c r="P56" s="7">
        <f>IF(AND(N56&lt;&gt;"",O56&lt;&gt;""),O56-N56,"")</f>
        <v/>
      </c>
      <c r="Q56" s="10" t="n"/>
      <c r="R56" s="9" t="n"/>
      <c r="S56" s="10" t="n"/>
    </row>
    <row r="57">
      <c r="A57" s="10" t="n"/>
      <c r="B57" s="9" t="n"/>
      <c r="C57" s="10" t="n"/>
      <c r="D57" s="10" t="n"/>
      <c r="E57" s="10" t="n"/>
      <c r="F57" s="10" t="n"/>
      <c r="G57" s="10" t="n"/>
      <c r="H57" s="10" t="n"/>
      <c r="I57" s="8" t="n"/>
      <c r="J57" s="8" t="n"/>
      <c r="K57" s="8" t="n"/>
      <c r="L57" s="6">
        <f>IF(J57="","",J57-K57)</f>
        <v/>
      </c>
      <c r="M57" s="8" t="n"/>
      <c r="N57" s="9" t="n"/>
      <c r="O57" s="9" t="n"/>
      <c r="P57" s="7">
        <f>IF(AND(N57&lt;&gt;"",O57&lt;&gt;""),O57-N57,"")</f>
        <v/>
      </c>
      <c r="Q57" s="10" t="n"/>
      <c r="R57" s="9" t="n"/>
      <c r="S57" s="10" t="n"/>
    </row>
    <row r="58">
      <c r="A58" s="10" t="n"/>
      <c r="B58" s="9" t="n"/>
      <c r="C58" s="10" t="n"/>
      <c r="D58" s="10" t="n"/>
      <c r="E58" s="10" t="n"/>
      <c r="F58" s="10" t="n"/>
      <c r="G58" s="10" t="n"/>
      <c r="H58" s="10" t="n"/>
      <c r="I58" s="8" t="n"/>
      <c r="J58" s="8" t="n"/>
      <c r="K58" s="8" t="n"/>
      <c r="L58" s="6">
        <f>IF(J58="","",J58-K58)</f>
        <v/>
      </c>
      <c r="M58" s="8" t="n"/>
      <c r="N58" s="9" t="n"/>
      <c r="O58" s="9" t="n"/>
      <c r="P58" s="7">
        <f>IF(AND(N58&lt;&gt;"",O58&lt;&gt;""),O58-N58,"")</f>
        <v/>
      </c>
      <c r="Q58" s="10" t="n"/>
      <c r="R58" s="9" t="n"/>
      <c r="S58" s="10" t="n"/>
    </row>
    <row r="59">
      <c r="A59" s="10" t="n"/>
      <c r="B59" s="9" t="n"/>
      <c r="C59" s="10" t="n"/>
      <c r="D59" s="10" t="n"/>
      <c r="E59" s="10" t="n"/>
      <c r="F59" s="10" t="n"/>
      <c r="G59" s="10" t="n"/>
      <c r="H59" s="10" t="n"/>
      <c r="I59" s="8" t="n"/>
      <c r="J59" s="8" t="n"/>
      <c r="K59" s="8" t="n"/>
      <c r="L59" s="6">
        <f>IF(J59="","",J59-K59)</f>
        <v/>
      </c>
      <c r="M59" s="8" t="n"/>
      <c r="N59" s="9" t="n"/>
      <c r="O59" s="9" t="n"/>
      <c r="P59" s="7">
        <f>IF(AND(N59&lt;&gt;"",O59&lt;&gt;""),O59-N59,"")</f>
        <v/>
      </c>
      <c r="Q59" s="10" t="n"/>
      <c r="R59" s="9" t="n"/>
      <c r="S59" s="10" t="n"/>
    </row>
    <row r="60">
      <c r="A60" s="10" t="n"/>
      <c r="B60" s="9" t="n"/>
      <c r="C60" s="10" t="n"/>
      <c r="D60" s="10" t="n"/>
      <c r="E60" s="10" t="n"/>
      <c r="F60" s="10" t="n"/>
      <c r="G60" s="10" t="n"/>
      <c r="H60" s="10" t="n"/>
      <c r="I60" s="8" t="n"/>
      <c r="J60" s="8" t="n"/>
      <c r="K60" s="8" t="n"/>
      <c r="L60" s="6">
        <f>IF(J60="","",J60-K60)</f>
        <v/>
      </c>
      <c r="M60" s="8" t="n"/>
      <c r="N60" s="9" t="n"/>
      <c r="O60" s="9" t="n"/>
      <c r="P60" s="7">
        <f>IF(AND(N60&lt;&gt;"",O60&lt;&gt;""),O60-N60,"")</f>
        <v/>
      </c>
      <c r="Q60" s="10" t="n"/>
      <c r="R60" s="9" t="n"/>
      <c r="S60" s="10" t="n"/>
    </row>
    <row r="61">
      <c r="A61" s="10" t="n"/>
      <c r="B61" s="9" t="n"/>
      <c r="C61" s="10" t="n"/>
      <c r="D61" s="10" t="n"/>
      <c r="E61" s="10" t="n"/>
      <c r="F61" s="10" t="n"/>
      <c r="G61" s="10" t="n"/>
      <c r="H61" s="10" t="n"/>
      <c r="I61" s="8" t="n"/>
      <c r="J61" s="8" t="n"/>
      <c r="K61" s="8" t="n"/>
      <c r="L61" s="6">
        <f>IF(J61="","",J61-K61)</f>
        <v/>
      </c>
      <c r="M61" s="8" t="n"/>
      <c r="N61" s="9" t="n"/>
      <c r="O61" s="9" t="n"/>
      <c r="P61" s="7">
        <f>IF(AND(N61&lt;&gt;"",O61&lt;&gt;""),O61-N61,"")</f>
        <v/>
      </c>
      <c r="Q61" s="10" t="n"/>
      <c r="R61" s="9" t="n"/>
      <c r="S61" s="10" t="n"/>
    </row>
    <row r="62">
      <c r="A62" s="10" t="n"/>
      <c r="B62" s="9" t="n"/>
      <c r="C62" s="10" t="n"/>
      <c r="D62" s="10" t="n"/>
      <c r="E62" s="10" t="n"/>
      <c r="F62" s="10" t="n"/>
      <c r="G62" s="10" t="n"/>
      <c r="H62" s="10" t="n"/>
      <c r="I62" s="8" t="n"/>
      <c r="J62" s="8" t="n"/>
      <c r="K62" s="8" t="n"/>
      <c r="L62" s="6">
        <f>IF(J62="","",J62-K62)</f>
        <v/>
      </c>
      <c r="M62" s="8" t="n"/>
      <c r="N62" s="9" t="n"/>
      <c r="O62" s="9" t="n"/>
      <c r="P62" s="7">
        <f>IF(AND(N62&lt;&gt;"",O62&lt;&gt;""),O62-N62,"")</f>
        <v/>
      </c>
      <c r="Q62" s="10" t="n"/>
      <c r="R62" s="9" t="n"/>
      <c r="S62" s="10" t="n"/>
    </row>
    <row r="63">
      <c r="A63" s="10" t="n"/>
      <c r="B63" s="9" t="n"/>
      <c r="C63" s="10" t="n"/>
      <c r="D63" s="10" t="n"/>
      <c r="E63" s="10" t="n"/>
      <c r="F63" s="10" t="n"/>
      <c r="G63" s="10" t="n"/>
      <c r="H63" s="10" t="n"/>
      <c r="I63" s="8" t="n"/>
      <c r="J63" s="8" t="n"/>
      <c r="K63" s="8" t="n"/>
      <c r="L63" s="6">
        <f>IF(J63="","",J63-K63)</f>
        <v/>
      </c>
      <c r="M63" s="8" t="n"/>
      <c r="N63" s="9" t="n"/>
      <c r="O63" s="9" t="n"/>
      <c r="P63" s="7">
        <f>IF(AND(N63&lt;&gt;"",O63&lt;&gt;""),O63-N63,"")</f>
        <v/>
      </c>
      <c r="Q63" s="10" t="n"/>
      <c r="R63" s="9" t="n"/>
      <c r="S63" s="10" t="n"/>
    </row>
    <row r="64">
      <c r="A64" s="10" t="n"/>
      <c r="B64" s="9" t="n"/>
      <c r="C64" s="10" t="n"/>
      <c r="D64" s="10" t="n"/>
      <c r="E64" s="10" t="n"/>
      <c r="F64" s="10" t="n"/>
      <c r="G64" s="10" t="n"/>
      <c r="H64" s="10" t="n"/>
      <c r="I64" s="8" t="n"/>
      <c r="J64" s="8" t="n"/>
      <c r="K64" s="8" t="n"/>
      <c r="L64" s="6">
        <f>IF(J64="","",J64-K64)</f>
        <v/>
      </c>
      <c r="M64" s="8" t="n"/>
      <c r="N64" s="9" t="n"/>
      <c r="O64" s="9" t="n"/>
      <c r="P64" s="7">
        <f>IF(AND(N64&lt;&gt;"",O64&lt;&gt;""),O64-N64,"")</f>
        <v/>
      </c>
      <c r="Q64" s="10" t="n"/>
      <c r="R64" s="9" t="n"/>
      <c r="S64" s="10" t="n"/>
    </row>
    <row r="65">
      <c r="A65" s="10" t="n"/>
      <c r="B65" s="9" t="n"/>
      <c r="C65" s="10" t="n"/>
      <c r="D65" s="10" t="n"/>
      <c r="E65" s="10" t="n"/>
      <c r="F65" s="10" t="n"/>
      <c r="G65" s="10" t="n"/>
      <c r="H65" s="10" t="n"/>
      <c r="I65" s="8" t="n"/>
      <c r="J65" s="8" t="n"/>
      <c r="K65" s="8" t="n"/>
      <c r="L65" s="6">
        <f>IF(J65="","",J65-K65)</f>
        <v/>
      </c>
      <c r="M65" s="8" t="n"/>
      <c r="N65" s="9" t="n"/>
      <c r="O65" s="9" t="n"/>
      <c r="P65" s="7">
        <f>IF(AND(N65&lt;&gt;"",O65&lt;&gt;""),O65-N65,"")</f>
        <v/>
      </c>
      <c r="Q65" s="10" t="n"/>
      <c r="R65" s="9" t="n"/>
      <c r="S65" s="10" t="n"/>
    </row>
    <row r="66">
      <c r="A66" s="10" t="n"/>
      <c r="B66" s="9" t="n"/>
      <c r="C66" s="10" t="n"/>
      <c r="D66" s="10" t="n"/>
      <c r="E66" s="10" t="n"/>
      <c r="F66" s="10" t="n"/>
      <c r="G66" s="10" t="n"/>
      <c r="H66" s="10" t="n"/>
      <c r="I66" s="8" t="n"/>
      <c r="J66" s="8" t="n"/>
      <c r="K66" s="8" t="n"/>
      <c r="L66" s="6">
        <f>IF(J66="","",J66-K66)</f>
        <v/>
      </c>
      <c r="M66" s="8" t="n"/>
      <c r="N66" s="9" t="n"/>
      <c r="O66" s="9" t="n"/>
      <c r="P66" s="7">
        <f>IF(AND(N66&lt;&gt;"",O66&lt;&gt;""),O66-N66,"")</f>
        <v/>
      </c>
      <c r="Q66" s="10" t="n"/>
      <c r="R66" s="9" t="n"/>
      <c r="S66" s="10" t="n"/>
    </row>
    <row r="67">
      <c r="A67" s="10" t="n"/>
      <c r="B67" s="9" t="n"/>
      <c r="C67" s="10" t="n"/>
      <c r="D67" s="10" t="n"/>
      <c r="E67" s="10" t="n"/>
      <c r="F67" s="10" t="n"/>
      <c r="G67" s="10" t="n"/>
      <c r="H67" s="10" t="n"/>
      <c r="I67" s="8" t="n"/>
      <c r="J67" s="8" t="n"/>
      <c r="K67" s="8" t="n"/>
      <c r="L67" s="6">
        <f>IF(J67="","",J67-K67)</f>
        <v/>
      </c>
      <c r="M67" s="8" t="n"/>
      <c r="N67" s="9" t="n"/>
      <c r="O67" s="9" t="n"/>
      <c r="P67" s="7">
        <f>IF(AND(N67&lt;&gt;"",O67&lt;&gt;""),O67-N67,"")</f>
        <v/>
      </c>
      <c r="Q67" s="10" t="n"/>
      <c r="R67" s="9" t="n"/>
      <c r="S67" s="10" t="n"/>
    </row>
    <row r="68">
      <c r="A68" s="10" t="n"/>
      <c r="B68" s="9" t="n"/>
      <c r="C68" s="10" t="n"/>
      <c r="D68" s="10" t="n"/>
      <c r="E68" s="10" t="n"/>
      <c r="F68" s="10" t="n"/>
      <c r="G68" s="10" t="n"/>
      <c r="H68" s="10" t="n"/>
      <c r="I68" s="8" t="n"/>
      <c r="J68" s="8" t="n"/>
      <c r="K68" s="8" t="n"/>
      <c r="L68" s="6">
        <f>IF(J68="","",J68-K68)</f>
        <v/>
      </c>
      <c r="M68" s="8" t="n"/>
      <c r="N68" s="9" t="n"/>
      <c r="O68" s="9" t="n"/>
      <c r="P68" s="7">
        <f>IF(AND(N68&lt;&gt;"",O68&lt;&gt;""),O68-N68,"")</f>
        <v/>
      </c>
      <c r="Q68" s="10" t="n"/>
      <c r="R68" s="9" t="n"/>
      <c r="S68" s="10" t="n"/>
    </row>
    <row r="69">
      <c r="A69" s="10" t="n"/>
      <c r="B69" s="9" t="n"/>
      <c r="C69" s="10" t="n"/>
      <c r="D69" s="10" t="n"/>
      <c r="E69" s="10" t="n"/>
      <c r="F69" s="10" t="n"/>
      <c r="G69" s="10" t="n"/>
      <c r="H69" s="10" t="n"/>
      <c r="I69" s="8" t="n"/>
      <c r="J69" s="8" t="n"/>
      <c r="K69" s="8" t="n"/>
      <c r="L69" s="6">
        <f>IF(J69="","",J69-K69)</f>
        <v/>
      </c>
      <c r="M69" s="8" t="n"/>
      <c r="N69" s="9" t="n"/>
      <c r="O69" s="9" t="n"/>
      <c r="P69" s="7">
        <f>IF(AND(N69&lt;&gt;"",O69&lt;&gt;""),O69-N69,"")</f>
        <v/>
      </c>
      <c r="Q69" s="10" t="n"/>
      <c r="R69" s="9" t="n"/>
      <c r="S69" s="10" t="n"/>
    </row>
    <row r="70">
      <c r="A70" s="10" t="n"/>
      <c r="B70" s="9" t="n"/>
      <c r="C70" s="10" t="n"/>
      <c r="D70" s="10" t="n"/>
      <c r="E70" s="10" t="n"/>
      <c r="F70" s="10" t="n"/>
      <c r="G70" s="10" t="n"/>
      <c r="H70" s="10" t="n"/>
      <c r="I70" s="8" t="n"/>
      <c r="J70" s="8" t="n"/>
      <c r="K70" s="8" t="n"/>
      <c r="L70" s="6">
        <f>IF(J70="","",J70-K70)</f>
        <v/>
      </c>
      <c r="M70" s="8" t="n"/>
      <c r="N70" s="9" t="n"/>
      <c r="O70" s="9" t="n"/>
      <c r="P70" s="7">
        <f>IF(AND(N70&lt;&gt;"",O70&lt;&gt;""),O70-N70,"")</f>
        <v/>
      </c>
      <c r="Q70" s="10" t="n"/>
      <c r="R70" s="9" t="n"/>
      <c r="S70" s="10" t="n"/>
    </row>
    <row r="71">
      <c r="A71" s="10" t="n"/>
      <c r="B71" s="9" t="n"/>
      <c r="C71" s="10" t="n"/>
      <c r="D71" s="10" t="n"/>
      <c r="E71" s="10" t="n"/>
      <c r="F71" s="10" t="n"/>
      <c r="G71" s="10" t="n"/>
      <c r="H71" s="10" t="n"/>
      <c r="I71" s="8" t="n"/>
      <c r="J71" s="8" t="n"/>
      <c r="K71" s="8" t="n"/>
      <c r="L71" s="6">
        <f>IF(J71="","",J71-K71)</f>
        <v/>
      </c>
      <c r="M71" s="8" t="n"/>
      <c r="N71" s="9" t="n"/>
      <c r="O71" s="9" t="n"/>
      <c r="P71" s="7">
        <f>IF(AND(N71&lt;&gt;"",O71&lt;&gt;""),O71-N71,"")</f>
        <v/>
      </c>
      <c r="Q71" s="10" t="n"/>
      <c r="R71" s="9" t="n"/>
      <c r="S71" s="10" t="n"/>
    </row>
    <row r="72">
      <c r="A72" s="10" t="n"/>
      <c r="B72" s="9" t="n"/>
      <c r="C72" s="10" t="n"/>
      <c r="D72" s="10" t="n"/>
      <c r="E72" s="10" t="n"/>
      <c r="F72" s="10" t="n"/>
      <c r="G72" s="10" t="n"/>
      <c r="H72" s="10" t="n"/>
      <c r="I72" s="8" t="n"/>
      <c r="J72" s="8" t="n"/>
      <c r="K72" s="8" t="n"/>
      <c r="L72" s="6">
        <f>IF(J72="","",J72-K72)</f>
        <v/>
      </c>
      <c r="M72" s="8" t="n"/>
      <c r="N72" s="9" t="n"/>
      <c r="O72" s="9" t="n"/>
      <c r="P72" s="7">
        <f>IF(AND(N72&lt;&gt;"",O72&lt;&gt;""),O72-N72,"")</f>
        <v/>
      </c>
      <c r="Q72" s="10" t="n"/>
      <c r="R72" s="9" t="n"/>
      <c r="S72" s="10" t="n"/>
    </row>
    <row r="73">
      <c r="A73" s="10" t="n"/>
      <c r="B73" s="9" t="n"/>
      <c r="C73" s="10" t="n"/>
      <c r="D73" s="10" t="n"/>
      <c r="E73" s="10" t="n"/>
      <c r="F73" s="10" t="n"/>
      <c r="G73" s="10" t="n"/>
      <c r="H73" s="10" t="n"/>
      <c r="I73" s="8" t="n"/>
      <c r="J73" s="8" t="n"/>
      <c r="K73" s="8" t="n"/>
      <c r="L73" s="6">
        <f>IF(J73="","",J73-K73)</f>
        <v/>
      </c>
      <c r="M73" s="8" t="n"/>
      <c r="N73" s="9" t="n"/>
      <c r="O73" s="9" t="n"/>
      <c r="P73" s="7">
        <f>IF(AND(N73&lt;&gt;"",O73&lt;&gt;""),O73-N73,"")</f>
        <v/>
      </c>
      <c r="Q73" s="10" t="n"/>
      <c r="R73" s="9" t="n"/>
      <c r="S73" s="10" t="n"/>
    </row>
    <row r="74">
      <c r="A74" s="10" t="n"/>
      <c r="B74" s="9" t="n"/>
      <c r="C74" s="10" t="n"/>
      <c r="D74" s="10" t="n"/>
      <c r="E74" s="10" t="n"/>
      <c r="F74" s="10" t="n"/>
      <c r="G74" s="10" t="n"/>
      <c r="H74" s="10" t="n"/>
      <c r="I74" s="8" t="n"/>
      <c r="J74" s="8" t="n"/>
      <c r="K74" s="8" t="n"/>
      <c r="L74" s="6">
        <f>IF(J74="","",J74-K74)</f>
        <v/>
      </c>
      <c r="M74" s="8" t="n"/>
      <c r="N74" s="9" t="n"/>
      <c r="O74" s="9" t="n"/>
      <c r="P74" s="7">
        <f>IF(AND(N74&lt;&gt;"",O74&lt;&gt;""),O74-N74,"")</f>
        <v/>
      </c>
      <c r="Q74" s="10" t="n"/>
      <c r="R74" s="9" t="n"/>
      <c r="S74" s="10" t="n"/>
    </row>
    <row r="75">
      <c r="A75" s="10" t="n"/>
      <c r="B75" s="9" t="n"/>
      <c r="C75" s="10" t="n"/>
      <c r="D75" s="10" t="n"/>
      <c r="E75" s="10" t="n"/>
      <c r="F75" s="10" t="n"/>
      <c r="G75" s="10" t="n"/>
      <c r="H75" s="10" t="n"/>
      <c r="I75" s="8" t="n"/>
      <c r="J75" s="8" t="n"/>
      <c r="K75" s="8" t="n"/>
      <c r="L75" s="6">
        <f>IF(J75="","",J75-K75)</f>
        <v/>
      </c>
      <c r="M75" s="8" t="n"/>
      <c r="N75" s="9" t="n"/>
      <c r="O75" s="9" t="n"/>
      <c r="P75" s="7">
        <f>IF(AND(N75&lt;&gt;"",O75&lt;&gt;""),O75-N75,"")</f>
        <v/>
      </c>
      <c r="Q75" s="10" t="n"/>
      <c r="R75" s="9" t="n"/>
      <c r="S75" s="10" t="n"/>
    </row>
    <row r="76">
      <c r="A76" s="10" t="n"/>
      <c r="B76" s="9" t="n"/>
      <c r="C76" s="10" t="n"/>
      <c r="D76" s="10" t="n"/>
      <c r="E76" s="10" t="n"/>
      <c r="F76" s="10" t="n"/>
      <c r="G76" s="10" t="n"/>
      <c r="H76" s="10" t="n"/>
      <c r="I76" s="8" t="n"/>
      <c r="J76" s="8" t="n"/>
      <c r="K76" s="8" t="n"/>
      <c r="L76" s="6">
        <f>IF(J76="","",J76-K76)</f>
        <v/>
      </c>
      <c r="M76" s="8" t="n"/>
      <c r="N76" s="9" t="n"/>
      <c r="O76" s="9" t="n"/>
      <c r="P76" s="7">
        <f>IF(AND(N76&lt;&gt;"",O76&lt;&gt;""),O76-N76,"")</f>
        <v/>
      </c>
      <c r="Q76" s="10" t="n"/>
      <c r="R76" s="9" t="n"/>
      <c r="S76" s="10" t="n"/>
    </row>
    <row r="77">
      <c r="A77" s="10" t="n"/>
      <c r="B77" s="9" t="n"/>
      <c r="C77" s="10" t="n"/>
      <c r="D77" s="10" t="n"/>
      <c r="E77" s="10" t="n"/>
      <c r="F77" s="10" t="n"/>
      <c r="G77" s="10" t="n"/>
      <c r="H77" s="10" t="n"/>
      <c r="I77" s="8" t="n"/>
      <c r="J77" s="8" t="n"/>
      <c r="K77" s="8" t="n"/>
      <c r="L77" s="6">
        <f>IF(J77="","",J77-K77)</f>
        <v/>
      </c>
      <c r="M77" s="8" t="n"/>
      <c r="N77" s="9" t="n"/>
      <c r="O77" s="9" t="n"/>
      <c r="P77" s="7">
        <f>IF(AND(N77&lt;&gt;"",O77&lt;&gt;""),O77-N77,"")</f>
        <v/>
      </c>
      <c r="Q77" s="10" t="n"/>
      <c r="R77" s="9" t="n"/>
      <c r="S77" s="10" t="n"/>
    </row>
    <row r="78">
      <c r="A78" s="10" t="n"/>
      <c r="B78" s="9" t="n"/>
      <c r="C78" s="10" t="n"/>
      <c r="D78" s="10" t="n"/>
      <c r="E78" s="10" t="n"/>
      <c r="F78" s="10" t="n"/>
      <c r="G78" s="10" t="n"/>
      <c r="H78" s="10" t="n"/>
      <c r="I78" s="8" t="n"/>
      <c r="J78" s="8" t="n"/>
      <c r="K78" s="8" t="n"/>
      <c r="L78" s="6">
        <f>IF(J78="","",J78-K78)</f>
        <v/>
      </c>
      <c r="M78" s="8" t="n"/>
      <c r="N78" s="9" t="n"/>
      <c r="O78" s="9" t="n"/>
      <c r="P78" s="7">
        <f>IF(AND(N78&lt;&gt;"",O78&lt;&gt;""),O78-N78,"")</f>
        <v/>
      </c>
      <c r="Q78" s="10" t="n"/>
      <c r="R78" s="9" t="n"/>
      <c r="S78" s="10" t="n"/>
    </row>
    <row r="79">
      <c r="A79" s="10" t="n"/>
      <c r="B79" s="9" t="n"/>
      <c r="C79" s="10" t="n"/>
      <c r="D79" s="10" t="n"/>
      <c r="E79" s="10" t="n"/>
      <c r="F79" s="10" t="n"/>
      <c r="G79" s="10" t="n"/>
      <c r="H79" s="10" t="n"/>
      <c r="I79" s="8" t="n"/>
      <c r="J79" s="8" t="n"/>
      <c r="K79" s="8" t="n"/>
      <c r="L79" s="6">
        <f>IF(J79="","",J79-K79)</f>
        <v/>
      </c>
      <c r="M79" s="8" t="n"/>
      <c r="N79" s="9" t="n"/>
      <c r="O79" s="9" t="n"/>
      <c r="P79" s="7">
        <f>IF(AND(N79&lt;&gt;"",O79&lt;&gt;""),O79-N79,"")</f>
        <v/>
      </c>
      <c r="Q79" s="10" t="n"/>
      <c r="R79" s="9" t="n"/>
      <c r="S79" s="10" t="n"/>
    </row>
    <row r="80">
      <c r="A80" s="10" t="n"/>
      <c r="B80" s="9" t="n"/>
      <c r="C80" s="10" t="n"/>
      <c r="D80" s="10" t="n"/>
      <c r="E80" s="10" t="n"/>
      <c r="F80" s="10" t="n"/>
      <c r="G80" s="10" t="n"/>
      <c r="H80" s="10" t="n"/>
      <c r="I80" s="8" t="n"/>
      <c r="J80" s="8" t="n"/>
      <c r="K80" s="8" t="n"/>
      <c r="L80" s="6">
        <f>IF(J80="","",J80-K80)</f>
        <v/>
      </c>
      <c r="M80" s="8" t="n"/>
      <c r="N80" s="9" t="n"/>
      <c r="O80" s="9" t="n"/>
      <c r="P80" s="7">
        <f>IF(AND(N80&lt;&gt;"",O80&lt;&gt;""),O80-N80,"")</f>
        <v/>
      </c>
      <c r="Q80" s="10" t="n"/>
      <c r="R80" s="9" t="n"/>
      <c r="S80" s="10" t="n"/>
    </row>
    <row r="81">
      <c r="A81" s="10" t="n"/>
      <c r="B81" s="9" t="n"/>
      <c r="C81" s="10" t="n"/>
      <c r="D81" s="10" t="n"/>
      <c r="E81" s="10" t="n"/>
      <c r="F81" s="10" t="n"/>
      <c r="G81" s="10" t="n"/>
      <c r="H81" s="10" t="n"/>
      <c r="I81" s="8" t="n"/>
      <c r="J81" s="8" t="n"/>
      <c r="K81" s="8" t="n"/>
      <c r="L81" s="6">
        <f>IF(J81="","",J81-K81)</f>
        <v/>
      </c>
      <c r="M81" s="8" t="n"/>
      <c r="N81" s="9" t="n"/>
      <c r="O81" s="9" t="n"/>
      <c r="P81" s="7">
        <f>IF(AND(N81&lt;&gt;"",O81&lt;&gt;""),O81-N81,"")</f>
        <v/>
      </c>
      <c r="Q81" s="10" t="n"/>
      <c r="R81" s="9" t="n"/>
      <c r="S81" s="10" t="n"/>
    </row>
    <row r="82">
      <c r="A82" s="10" t="n"/>
      <c r="B82" s="9" t="n"/>
      <c r="C82" s="10" t="n"/>
      <c r="D82" s="10" t="n"/>
      <c r="E82" s="10" t="n"/>
      <c r="F82" s="10" t="n"/>
      <c r="G82" s="10" t="n"/>
      <c r="H82" s="10" t="n"/>
      <c r="I82" s="8" t="n"/>
      <c r="J82" s="8" t="n"/>
      <c r="K82" s="8" t="n"/>
      <c r="L82" s="6">
        <f>IF(J82="","",J82-K82)</f>
        <v/>
      </c>
      <c r="M82" s="8" t="n"/>
      <c r="N82" s="9" t="n"/>
      <c r="O82" s="9" t="n"/>
      <c r="P82" s="7">
        <f>IF(AND(N82&lt;&gt;"",O82&lt;&gt;""),O82-N82,"")</f>
        <v/>
      </c>
      <c r="Q82" s="10" t="n"/>
      <c r="R82" s="9" t="n"/>
      <c r="S82" s="10" t="n"/>
    </row>
    <row r="83">
      <c r="A83" s="10" t="n"/>
      <c r="B83" s="9" t="n"/>
      <c r="C83" s="10" t="n"/>
      <c r="D83" s="10" t="n"/>
      <c r="E83" s="10" t="n"/>
      <c r="F83" s="10" t="n"/>
      <c r="G83" s="10" t="n"/>
      <c r="H83" s="10" t="n"/>
      <c r="I83" s="8" t="n"/>
      <c r="J83" s="8" t="n"/>
      <c r="K83" s="8" t="n"/>
      <c r="L83" s="6">
        <f>IF(J83="","",J83-K83)</f>
        <v/>
      </c>
      <c r="M83" s="8" t="n"/>
      <c r="N83" s="9" t="n"/>
      <c r="O83" s="9" t="n"/>
      <c r="P83" s="7">
        <f>IF(AND(N83&lt;&gt;"",O83&lt;&gt;""),O83-N83,"")</f>
        <v/>
      </c>
      <c r="Q83" s="10" t="n"/>
      <c r="R83" s="9" t="n"/>
      <c r="S83" s="10" t="n"/>
    </row>
    <row r="84">
      <c r="A84" s="10" t="n"/>
      <c r="B84" s="9" t="n"/>
      <c r="C84" s="10" t="n"/>
      <c r="D84" s="10" t="n"/>
      <c r="E84" s="10" t="n"/>
      <c r="F84" s="10" t="n"/>
      <c r="G84" s="10" t="n"/>
      <c r="H84" s="10" t="n"/>
      <c r="I84" s="8" t="n"/>
      <c r="J84" s="8" t="n"/>
      <c r="K84" s="8" t="n"/>
      <c r="L84" s="6">
        <f>IF(J84="","",J84-K84)</f>
        <v/>
      </c>
      <c r="M84" s="8" t="n"/>
      <c r="N84" s="9" t="n"/>
      <c r="O84" s="9" t="n"/>
      <c r="P84" s="7">
        <f>IF(AND(N84&lt;&gt;"",O84&lt;&gt;""),O84-N84,"")</f>
        <v/>
      </c>
      <c r="Q84" s="10" t="n"/>
      <c r="R84" s="9" t="n"/>
      <c r="S84" s="10" t="n"/>
    </row>
    <row r="85">
      <c r="A85" s="10" t="n"/>
      <c r="B85" s="9" t="n"/>
      <c r="C85" s="10" t="n"/>
      <c r="D85" s="10" t="n"/>
      <c r="E85" s="10" t="n"/>
      <c r="F85" s="10" t="n"/>
      <c r="G85" s="10" t="n"/>
      <c r="H85" s="10" t="n"/>
      <c r="I85" s="8" t="n"/>
      <c r="J85" s="8" t="n"/>
      <c r="K85" s="8" t="n"/>
      <c r="L85" s="6">
        <f>IF(J85="","",J85-K85)</f>
        <v/>
      </c>
      <c r="M85" s="8" t="n"/>
      <c r="N85" s="9" t="n"/>
      <c r="O85" s="9" t="n"/>
      <c r="P85" s="7">
        <f>IF(AND(N85&lt;&gt;"",O85&lt;&gt;""),O85-N85,"")</f>
        <v/>
      </c>
      <c r="Q85" s="10" t="n"/>
      <c r="R85" s="9" t="n"/>
      <c r="S85" s="10" t="n"/>
    </row>
    <row r="86">
      <c r="A86" s="10" t="n"/>
      <c r="B86" s="9" t="n"/>
      <c r="C86" s="10" t="n"/>
      <c r="D86" s="10" t="n"/>
      <c r="E86" s="10" t="n"/>
      <c r="F86" s="10" t="n"/>
      <c r="G86" s="10" t="n"/>
      <c r="H86" s="10" t="n"/>
      <c r="I86" s="8" t="n"/>
      <c r="J86" s="8" t="n"/>
      <c r="K86" s="8" t="n"/>
      <c r="L86" s="6">
        <f>IF(J86="","",J86-K86)</f>
        <v/>
      </c>
      <c r="M86" s="8" t="n"/>
      <c r="N86" s="9" t="n"/>
      <c r="O86" s="9" t="n"/>
      <c r="P86" s="7">
        <f>IF(AND(N86&lt;&gt;"",O86&lt;&gt;""),O86-N86,"")</f>
        <v/>
      </c>
      <c r="Q86" s="10" t="n"/>
      <c r="R86" s="9" t="n"/>
      <c r="S86" s="10" t="n"/>
    </row>
    <row r="87">
      <c r="A87" s="10" t="n"/>
      <c r="B87" s="9" t="n"/>
      <c r="C87" s="10" t="n"/>
      <c r="D87" s="10" t="n"/>
      <c r="E87" s="10" t="n"/>
      <c r="F87" s="10" t="n"/>
      <c r="G87" s="10" t="n"/>
      <c r="H87" s="10" t="n"/>
      <c r="I87" s="8" t="n"/>
      <c r="J87" s="8" t="n"/>
      <c r="K87" s="8" t="n"/>
      <c r="L87" s="6">
        <f>IF(J87="","",J87-K87)</f>
        <v/>
      </c>
      <c r="M87" s="8" t="n"/>
      <c r="N87" s="9" t="n"/>
      <c r="O87" s="9" t="n"/>
      <c r="P87" s="7">
        <f>IF(AND(N87&lt;&gt;"",O87&lt;&gt;""),O87-N87,"")</f>
        <v/>
      </c>
      <c r="Q87" s="10" t="n"/>
      <c r="R87" s="9" t="n"/>
      <c r="S87" s="10" t="n"/>
    </row>
    <row r="88">
      <c r="A88" s="10" t="n"/>
      <c r="B88" s="9" t="n"/>
      <c r="C88" s="10" t="n"/>
      <c r="D88" s="10" t="n"/>
      <c r="E88" s="10" t="n"/>
      <c r="F88" s="10" t="n"/>
      <c r="G88" s="10" t="n"/>
      <c r="H88" s="10" t="n"/>
      <c r="I88" s="8" t="n"/>
      <c r="J88" s="8" t="n"/>
      <c r="K88" s="8" t="n"/>
      <c r="L88" s="6">
        <f>IF(J88="","",J88-K88)</f>
        <v/>
      </c>
      <c r="M88" s="8" t="n"/>
      <c r="N88" s="9" t="n"/>
      <c r="O88" s="9" t="n"/>
      <c r="P88" s="7">
        <f>IF(AND(N88&lt;&gt;"",O88&lt;&gt;""),O88-N88,"")</f>
        <v/>
      </c>
      <c r="Q88" s="10" t="n"/>
      <c r="R88" s="9" t="n"/>
      <c r="S88" s="10" t="n"/>
    </row>
    <row r="89">
      <c r="A89" s="10" t="n"/>
      <c r="B89" s="9" t="n"/>
      <c r="C89" s="10" t="n"/>
      <c r="D89" s="10" t="n"/>
      <c r="E89" s="10" t="n"/>
      <c r="F89" s="10" t="n"/>
      <c r="G89" s="10" t="n"/>
      <c r="H89" s="10" t="n"/>
      <c r="I89" s="8" t="n"/>
      <c r="J89" s="8" t="n"/>
      <c r="K89" s="8" t="n"/>
      <c r="L89" s="6">
        <f>IF(J89="","",J89-K89)</f>
        <v/>
      </c>
      <c r="M89" s="8" t="n"/>
      <c r="N89" s="9" t="n"/>
      <c r="O89" s="9" t="n"/>
      <c r="P89" s="7">
        <f>IF(AND(N89&lt;&gt;"",O89&lt;&gt;""),O89-N89,"")</f>
        <v/>
      </c>
      <c r="Q89" s="10" t="n"/>
      <c r="R89" s="9" t="n"/>
      <c r="S89" s="10" t="n"/>
    </row>
    <row r="90">
      <c r="A90" s="10" t="n"/>
      <c r="B90" s="9" t="n"/>
      <c r="C90" s="10" t="n"/>
      <c r="D90" s="10" t="n"/>
      <c r="E90" s="10" t="n"/>
      <c r="F90" s="10" t="n"/>
      <c r="G90" s="10" t="n"/>
      <c r="H90" s="10" t="n"/>
      <c r="I90" s="8" t="n"/>
      <c r="J90" s="8" t="n"/>
      <c r="K90" s="8" t="n"/>
      <c r="L90" s="6">
        <f>IF(J90="","",J90-K90)</f>
        <v/>
      </c>
      <c r="M90" s="8" t="n"/>
      <c r="N90" s="9" t="n"/>
      <c r="O90" s="9" t="n"/>
      <c r="P90" s="7">
        <f>IF(AND(N90&lt;&gt;"",O90&lt;&gt;""),O90-N90,"")</f>
        <v/>
      </c>
      <c r="Q90" s="10" t="n"/>
      <c r="R90" s="9" t="n"/>
      <c r="S90" s="10" t="n"/>
    </row>
    <row r="91">
      <c r="A91" s="10" t="n"/>
      <c r="B91" s="9" t="n"/>
      <c r="C91" s="10" t="n"/>
      <c r="D91" s="10" t="n"/>
      <c r="E91" s="10" t="n"/>
      <c r="F91" s="10" t="n"/>
      <c r="G91" s="10" t="n"/>
      <c r="H91" s="10" t="n"/>
      <c r="I91" s="8" t="n"/>
      <c r="J91" s="8" t="n"/>
      <c r="K91" s="8" t="n"/>
      <c r="L91" s="6">
        <f>IF(J91="","",J91-K91)</f>
        <v/>
      </c>
      <c r="M91" s="8" t="n"/>
      <c r="N91" s="9" t="n"/>
      <c r="O91" s="9" t="n"/>
      <c r="P91" s="7">
        <f>IF(AND(N91&lt;&gt;"",O91&lt;&gt;""),O91-N91,"")</f>
        <v/>
      </c>
      <c r="Q91" s="10" t="n"/>
      <c r="R91" s="9" t="n"/>
      <c r="S91" s="10" t="n"/>
    </row>
    <row r="92">
      <c r="A92" s="10" t="n"/>
      <c r="B92" s="9" t="n"/>
      <c r="C92" s="10" t="n"/>
      <c r="D92" s="10" t="n"/>
      <c r="E92" s="10" t="n"/>
      <c r="F92" s="10" t="n"/>
      <c r="G92" s="10" t="n"/>
      <c r="H92" s="10" t="n"/>
      <c r="I92" s="8" t="n"/>
      <c r="J92" s="8" t="n"/>
      <c r="K92" s="8" t="n"/>
      <c r="L92" s="6">
        <f>IF(J92="","",J92-K92)</f>
        <v/>
      </c>
      <c r="M92" s="8" t="n"/>
      <c r="N92" s="9" t="n"/>
      <c r="O92" s="9" t="n"/>
      <c r="P92" s="7">
        <f>IF(AND(N92&lt;&gt;"",O92&lt;&gt;""),O92-N92,"")</f>
        <v/>
      </c>
      <c r="Q92" s="10" t="n"/>
      <c r="R92" s="9" t="n"/>
      <c r="S92" s="10" t="n"/>
    </row>
    <row r="93">
      <c r="A93" s="10" t="n"/>
      <c r="B93" s="9" t="n"/>
      <c r="C93" s="10" t="n"/>
      <c r="D93" s="10" t="n"/>
      <c r="E93" s="10" t="n"/>
      <c r="F93" s="10" t="n"/>
      <c r="G93" s="10" t="n"/>
      <c r="H93" s="10" t="n"/>
      <c r="I93" s="8" t="n"/>
      <c r="J93" s="8" t="n"/>
      <c r="K93" s="8" t="n"/>
      <c r="L93" s="6">
        <f>IF(J93="","",J93-K93)</f>
        <v/>
      </c>
      <c r="M93" s="8" t="n"/>
      <c r="N93" s="9" t="n"/>
      <c r="O93" s="9" t="n"/>
      <c r="P93" s="7">
        <f>IF(AND(N93&lt;&gt;"",O93&lt;&gt;""),O93-N93,"")</f>
        <v/>
      </c>
      <c r="Q93" s="10" t="n"/>
      <c r="R93" s="9" t="n"/>
      <c r="S93" s="10" t="n"/>
    </row>
    <row r="94">
      <c r="A94" s="10" t="n"/>
      <c r="B94" s="9" t="n"/>
      <c r="C94" s="10" t="n"/>
      <c r="D94" s="10" t="n"/>
      <c r="E94" s="10" t="n"/>
      <c r="F94" s="10" t="n"/>
      <c r="G94" s="10" t="n"/>
      <c r="H94" s="10" t="n"/>
      <c r="I94" s="8" t="n"/>
      <c r="J94" s="8" t="n"/>
      <c r="K94" s="8" t="n"/>
      <c r="L94" s="6">
        <f>IF(J94="","",J94-K94)</f>
        <v/>
      </c>
      <c r="M94" s="8" t="n"/>
      <c r="N94" s="9" t="n"/>
      <c r="O94" s="9" t="n"/>
      <c r="P94" s="7">
        <f>IF(AND(N94&lt;&gt;"",O94&lt;&gt;""),O94-N94,"")</f>
        <v/>
      </c>
      <c r="Q94" s="10" t="n"/>
      <c r="R94" s="9" t="n"/>
      <c r="S94" s="10" t="n"/>
    </row>
    <row r="95">
      <c r="A95" s="10" t="n"/>
      <c r="B95" s="9" t="n"/>
      <c r="C95" s="10" t="n"/>
      <c r="D95" s="10" t="n"/>
      <c r="E95" s="10" t="n"/>
      <c r="F95" s="10" t="n"/>
      <c r="G95" s="10" t="n"/>
      <c r="H95" s="10" t="n"/>
      <c r="I95" s="8" t="n"/>
      <c r="J95" s="8" t="n"/>
      <c r="K95" s="8" t="n"/>
      <c r="L95" s="6">
        <f>IF(J95="","",J95-K95)</f>
        <v/>
      </c>
      <c r="M95" s="8" t="n"/>
      <c r="N95" s="9" t="n"/>
      <c r="O95" s="9" t="n"/>
      <c r="P95" s="7">
        <f>IF(AND(N95&lt;&gt;"",O95&lt;&gt;""),O95-N95,"")</f>
        <v/>
      </c>
      <c r="Q95" s="10" t="n"/>
      <c r="R95" s="9" t="n"/>
      <c r="S95" s="10" t="n"/>
    </row>
    <row r="96">
      <c r="A96" s="10" t="n"/>
      <c r="B96" s="9" t="n"/>
      <c r="C96" s="10" t="n"/>
      <c r="D96" s="10" t="n"/>
      <c r="E96" s="10" t="n"/>
      <c r="F96" s="10" t="n"/>
      <c r="G96" s="10" t="n"/>
      <c r="H96" s="10" t="n"/>
      <c r="I96" s="8" t="n"/>
      <c r="J96" s="8" t="n"/>
      <c r="K96" s="8" t="n"/>
      <c r="L96" s="6">
        <f>IF(J96="","",J96-K96)</f>
        <v/>
      </c>
      <c r="M96" s="8" t="n"/>
      <c r="N96" s="9" t="n"/>
      <c r="O96" s="9" t="n"/>
      <c r="P96" s="7">
        <f>IF(AND(N96&lt;&gt;"",O96&lt;&gt;""),O96-N96,"")</f>
        <v/>
      </c>
      <c r="Q96" s="10" t="n"/>
      <c r="R96" s="9" t="n"/>
      <c r="S96" s="10" t="n"/>
    </row>
    <row r="97">
      <c r="A97" s="10" t="n"/>
      <c r="B97" s="9" t="n"/>
      <c r="C97" s="10" t="n"/>
      <c r="D97" s="10" t="n"/>
      <c r="E97" s="10" t="n"/>
      <c r="F97" s="10" t="n"/>
      <c r="G97" s="10" t="n"/>
      <c r="H97" s="10" t="n"/>
      <c r="I97" s="8" t="n"/>
      <c r="J97" s="8" t="n"/>
      <c r="K97" s="8" t="n"/>
      <c r="L97" s="6">
        <f>IF(J97="","",J97-K97)</f>
        <v/>
      </c>
      <c r="M97" s="8" t="n"/>
      <c r="N97" s="9" t="n"/>
      <c r="O97" s="9" t="n"/>
      <c r="P97" s="7">
        <f>IF(AND(N97&lt;&gt;"",O97&lt;&gt;""),O97-N97,"")</f>
        <v/>
      </c>
      <c r="Q97" s="10" t="n"/>
      <c r="R97" s="9" t="n"/>
      <c r="S97" s="10" t="n"/>
    </row>
    <row r="98">
      <c r="A98" s="10" t="n"/>
      <c r="B98" s="9" t="n"/>
      <c r="C98" s="10" t="n"/>
      <c r="D98" s="10" t="n"/>
      <c r="E98" s="10" t="n"/>
      <c r="F98" s="10" t="n"/>
      <c r="G98" s="10" t="n"/>
      <c r="H98" s="10" t="n"/>
      <c r="I98" s="8" t="n"/>
      <c r="J98" s="8" t="n"/>
      <c r="K98" s="8" t="n"/>
      <c r="L98" s="6">
        <f>IF(J98="","",J98-K98)</f>
        <v/>
      </c>
      <c r="M98" s="8" t="n"/>
      <c r="N98" s="9" t="n"/>
      <c r="O98" s="9" t="n"/>
      <c r="P98" s="7">
        <f>IF(AND(N98&lt;&gt;"",O98&lt;&gt;""),O98-N98,"")</f>
        <v/>
      </c>
      <c r="Q98" s="10" t="n"/>
      <c r="R98" s="9" t="n"/>
      <c r="S98" s="10" t="n"/>
    </row>
    <row r="99">
      <c r="A99" s="10" t="n"/>
      <c r="B99" s="9" t="n"/>
      <c r="C99" s="10" t="n"/>
      <c r="D99" s="10" t="n"/>
      <c r="E99" s="10" t="n"/>
      <c r="F99" s="10" t="n"/>
      <c r="G99" s="10" t="n"/>
      <c r="H99" s="10" t="n"/>
      <c r="I99" s="8" t="n"/>
      <c r="J99" s="8" t="n"/>
      <c r="K99" s="8" t="n"/>
      <c r="L99" s="6">
        <f>IF(J99="","",J99-K99)</f>
        <v/>
      </c>
      <c r="M99" s="8" t="n"/>
      <c r="N99" s="9" t="n"/>
      <c r="O99" s="9" t="n"/>
      <c r="P99" s="7">
        <f>IF(AND(N99&lt;&gt;"",O99&lt;&gt;""),O99-N99,"")</f>
        <v/>
      </c>
      <c r="Q99" s="10" t="n"/>
      <c r="R99" s="9" t="n"/>
      <c r="S99" s="10" t="n"/>
    </row>
    <row r="100">
      <c r="A100" s="10" t="n"/>
      <c r="B100" s="9" t="n"/>
      <c r="C100" s="10" t="n"/>
      <c r="D100" s="10" t="n"/>
      <c r="E100" s="10" t="n"/>
      <c r="F100" s="10" t="n"/>
      <c r="G100" s="10" t="n"/>
      <c r="H100" s="10" t="n"/>
      <c r="I100" s="8" t="n"/>
      <c r="J100" s="8" t="n"/>
      <c r="K100" s="8" t="n"/>
      <c r="L100" s="6">
        <f>IF(J100="","",J100-K100)</f>
        <v/>
      </c>
      <c r="M100" s="8" t="n"/>
      <c r="N100" s="9" t="n"/>
      <c r="O100" s="9" t="n"/>
      <c r="P100" s="7">
        <f>IF(AND(N100&lt;&gt;"",O100&lt;&gt;""),O100-N100,"")</f>
        <v/>
      </c>
      <c r="Q100" s="10" t="n"/>
      <c r="R100" s="9" t="n"/>
      <c r="S100" s="10" t="n"/>
    </row>
    <row r="101">
      <c r="A101" s="10" t="n"/>
      <c r="B101" s="9" t="n"/>
      <c r="C101" s="10" t="n"/>
      <c r="D101" s="10" t="n"/>
      <c r="E101" s="10" t="n"/>
      <c r="F101" s="10" t="n"/>
      <c r="G101" s="10" t="n"/>
      <c r="H101" s="10" t="n"/>
      <c r="I101" s="8" t="n"/>
      <c r="J101" s="8" t="n"/>
      <c r="K101" s="8" t="n"/>
      <c r="L101" s="6">
        <f>IF(J101="","",J101-K101)</f>
        <v/>
      </c>
      <c r="M101" s="8" t="n"/>
      <c r="N101" s="9" t="n"/>
      <c r="O101" s="9" t="n"/>
      <c r="P101" s="7">
        <f>IF(AND(N101&lt;&gt;"",O101&lt;&gt;""),O101-N101,"")</f>
        <v/>
      </c>
      <c r="Q101" s="10" t="n"/>
      <c r="R101" s="9" t="n"/>
      <c r="S101" s="10" t="n"/>
    </row>
    <row r="102">
      <c r="A102" s="10" t="n"/>
      <c r="B102" s="9" t="n"/>
      <c r="C102" s="10" t="n"/>
      <c r="D102" s="10" t="n"/>
      <c r="E102" s="10" t="n"/>
      <c r="F102" s="10" t="n"/>
      <c r="G102" s="10" t="n"/>
      <c r="H102" s="10" t="n"/>
      <c r="I102" s="8" t="n"/>
      <c r="J102" s="8" t="n"/>
      <c r="K102" s="8" t="n"/>
      <c r="L102" s="6">
        <f>IF(J102="","",J102-K102)</f>
        <v/>
      </c>
      <c r="M102" s="8" t="n"/>
      <c r="N102" s="9" t="n"/>
      <c r="O102" s="9" t="n"/>
      <c r="P102" s="7">
        <f>IF(AND(N102&lt;&gt;"",O102&lt;&gt;""),O102-N102,"")</f>
        <v/>
      </c>
      <c r="Q102" s="10" t="n"/>
      <c r="R102" s="9" t="n"/>
      <c r="S102" s="10" t="n"/>
    </row>
  </sheetData>
  <mergeCells count="1">
    <mergeCell ref="A1:S1"/>
  </mergeCells>
  <dataValidations count="3">
    <dataValidation sqref="G3:G102" showDropDown="0" showInputMessage="0" showErrorMessage="0" allowBlank="1" type="list">
      <formula1>"Nuevo lead,Briefing/Interés,Presupuesto enviado,Negociando,Encargo firmado,En proceso,Entregado,Perdido"</formula1>
    </dataValidation>
    <dataValidation sqref="E3:E102" showDropDown="0" showInputMessage="0" showErrorMessage="0" allowBlank="1" type="list">
      <formula1>"Encargo,Catálogo"</formula1>
    </dataValidation>
    <dataValidation sqref="H3:H102" showDropDown="0" showInputMessage="0" showErrorMessage="0" allowBlank="1" type="list">
      <formula1>"Google,Instagram,TikTok,Facebook,Wallapop,Milanuncios,Coches.net,Referido,Otro"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26" customHeight="1">
      <c r="A1" s="1" t="inlineStr">
        <is>
          <t>CUADRO DE MANDO — KPIs</t>
        </is>
      </c>
    </row>
    <row r="3">
      <c r="A3" s="11" t="inlineStr">
        <is>
          <t>Total de leads registrados</t>
        </is>
      </c>
      <c r="B3" s="12">
        <f>COUNTA(Pipeline!C3:C102)</f>
        <v/>
      </c>
    </row>
    <row r="4">
      <c r="A4" s="11" t="inlineStr">
        <is>
          <t>Encargos firmados (o más avanzados)</t>
        </is>
      </c>
      <c r="B4" s="12">
        <f>COUNTIF(Pipeline!G3:G102,"Encargo firmado")+COUNTIF(Pipeline!G3:G102,"En proceso")+COUNTIF(Pipeline!G3:G102,"Entregado")</f>
        <v/>
      </c>
    </row>
    <row r="5">
      <c r="A5" s="11" t="inlineStr">
        <is>
          <t>Operaciones entregadas</t>
        </is>
      </c>
      <c r="B5" s="12">
        <f>COUNTIF(Pipeline!G3:G102,"Entregado")</f>
        <v/>
      </c>
    </row>
    <row r="6">
      <c r="A6" s="11" t="inlineStr">
        <is>
          <t>Leads perdidos</t>
        </is>
      </c>
      <c r="B6" s="12">
        <f>COUNTIF(Pipeline!G3:G102,"Perdido")</f>
        <v/>
      </c>
    </row>
    <row r="7">
      <c r="A7" s="11" t="inlineStr">
        <is>
          <t>Tasa de conversión (entregados / leads)</t>
        </is>
      </c>
      <c r="B7" s="13">
        <f>IFERROR(COUNTIF(Pipeline!G3:G102,"Entregado")/COUNTA(Pipeline!C3:C102),0)</f>
        <v/>
      </c>
    </row>
    <row r="8">
      <c r="A8" s="11" t="inlineStr">
        <is>
          <t>Beneficio neto acumulado (entregados)</t>
        </is>
      </c>
      <c r="B8" s="14">
        <f>SUMIF(Pipeline!G3:G102,"Entregado",Pipeline!L3:L102)</f>
        <v/>
      </c>
    </row>
    <row r="9">
      <c r="A9" s="11" t="inlineStr">
        <is>
          <t>Honorario medio (entregados)</t>
        </is>
      </c>
      <c r="B9" s="14">
        <f>IFERROR(AVERAGEIF(Pipeline!G3:G102,"Entregado",Pipeline!J3:J102),0)</f>
        <v/>
      </c>
    </row>
    <row r="10">
      <c r="A10" s="11" t="inlineStr">
        <is>
          <t>Facturación todo-incluido (entregados)</t>
        </is>
      </c>
      <c r="B10" s="14">
        <f>SUMIF(Pipeline!G3:G102,"Entregado",Pipeline!I3:I102)</f>
        <v/>
      </c>
    </row>
    <row r="11">
      <c r="A11" s="11" t="inlineStr">
        <is>
          <t>Días medios en proceso</t>
        </is>
      </c>
      <c r="B11" s="12">
        <f>IFERROR(AVERAGE(Pipeline!P3:P102),0)</f>
        <v/>
      </c>
    </row>
    <row r="13">
      <c r="A13" s="15" t="inlineStr">
        <is>
          <t>Leads por estado</t>
        </is>
      </c>
    </row>
    <row r="14">
      <c r="A14" s="10" t="inlineStr">
        <is>
          <t>Nuevo lead</t>
        </is>
      </c>
      <c r="B14" s="10">
        <f>COUNTIF(Pipeline!G3:G102,"Nuevo lead")</f>
        <v/>
      </c>
    </row>
    <row r="15">
      <c r="A15" s="10" t="inlineStr">
        <is>
          <t>Briefing/Interés</t>
        </is>
      </c>
      <c r="B15" s="10">
        <f>COUNTIF(Pipeline!G3:G102,"Briefing/Interés")</f>
        <v/>
      </c>
    </row>
    <row r="16">
      <c r="A16" s="10" t="inlineStr">
        <is>
          <t>Presupuesto enviado</t>
        </is>
      </c>
      <c r="B16" s="10">
        <f>COUNTIF(Pipeline!G3:G102,"Presupuesto enviado")</f>
        <v/>
      </c>
    </row>
    <row r="17">
      <c r="A17" s="10" t="inlineStr">
        <is>
          <t>Negociando</t>
        </is>
      </c>
      <c r="B17" s="10">
        <f>COUNTIF(Pipeline!G3:G102,"Negociando")</f>
        <v/>
      </c>
    </row>
    <row r="18">
      <c r="A18" s="10" t="inlineStr">
        <is>
          <t>Encargo firmado</t>
        </is>
      </c>
      <c r="B18" s="10">
        <f>COUNTIF(Pipeline!G3:G102,"Encargo firmado")</f>
        <v/>
      </c>
    </row>
    <row r="19">
      <c r="A19" s="10" t="inlineStr">
        <is>
          <t>En proceso</t>
        </is>
      </c>
      <c r="B19" s="10">
        <f>COUNTIF(Pipeline!G3:G102,"En proceso")</f>
        <v/>
      </c>
    </row>
    <row r="20">
      <c r="A20" s="10" t="inlineStr">
        <is>
          <t>Entregado</t>
        </is>
      </c>
      <c r="B20" s="10">
        <f>COUNTIF(Pipeline!G3:G102,"Entregado")</f>
        <v/>
      </c>
    </row>
    <row r="21">
      <c r="A21" s="10" t="inlineStr">
        <is>
          <t>Perdido</t>
        </is>
      </c>
      <c r="B21" s="10">
        <f>COUNTIF(Pipeline!G3:G102,"Perdido")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2026-07-16T20:13:55Z</dcterms:created>
  <dcterms:modified xmlns:dcterms="http://purl.org/dc/terms/" xmlns:xsi="http://www.w3.org/2001/XMLSchema-instance" xsi:type="dcterms:W3CDTF">2026-07-16T20:13:55Z</dcterms:modified>
</cp:coreProperties>
</file>