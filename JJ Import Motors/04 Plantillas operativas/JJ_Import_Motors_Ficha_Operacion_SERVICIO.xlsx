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Vehículo y resumen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Checklist inspección" sheetId="4" state="visible" r:id="rId4"/>
    <sheet xmlns:r="http://schemas.openxmlformats.org/officeDocument/2006/relationships" name="Checklist documentación" sheetId="5" state="visible" r:id="rId5"/>
    <sheet xmlns:r="http://schemas.openxmlformats.org/officeDocument/2006/relationships" name="Cronograma" sheetId="6" state="visible" r:id="rId6"/>
    <sheet xmlns:r="http://schemas.openxmlformats.org/officeDocument/2006/relationships" name="Contactos clave" sheetId="7" state="visible" r:id="rId7"/>
    <sheet xmlns:r="http://schemas.openxmlformats.org/officeDocument/2006/relationships" name="Plantillas de mensaj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</font>
    <font>
      <name val="Arial"/>
    </font>
    <font>
      <name val="Arial"/>
      <i val="1"/>
      <color rgb="00777777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A306D"/>
      </patternFill>
    </fill>
    <fill>
      <patternFill patternType="solid">
        <fgColor rgb="0034557D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5" fillId="0" borderId="0" pivotButton="0" quotePrefix="0" xfId="0"/>
    <xf numFmtId="0" fontId="6" fillId="4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5" fillId="0" borderId="1" pivotButton="0" quotePrefix="0" xfId="0"/>
    <xf numFmtId="164" fontId="5" fillId="5" borderId="1" pivotButton="0" quotePrefix="0" xfId="0"/>
    <xf numFmtId="164" fontId="5" fillId="6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7" fillId="0" borderId="0" pivotButton="0" quotePrefix="0" xfId="0"/>
    <xf numFmtId="164" fontId="0" fillId="0" borderId="1" pivotButton="0" quotePrefix="0" xfId="0"/>
    <xf numFmtId="0" fontId="8" fillId="0" borderId="0" pivotButton="0" quotePrefix="0" xfId="0"/>
    <xf numFmtId="164" fontId="8" fillId="5" borderId="1" pivotButton="0" quotePrefix="0" xfId="0"/>
    <xf numFmtId="164" fontId="8" fillId="6" borderId="1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285750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 ht="26" customHeight="1">
      <c r="A1" s="1" t="inlineStr">
        <is>
          <t>Ficha de operación — modelo servicio</t>
        </is>
      </c>
    </row>
    <row r="2">
      <c r="B2" s="2" t="inlineStr"/>
    </row>
    <row r="3">
      <c r="B3" s="3" t="inlineStr">
        <is>
          <t>Qué es este archivo: la ficha de control de UNA operación de importación por servicio.</t>
        </is>
      </c>
    </row>
    <row r="4">
      <c r="B4" s="3" t="inlineStr">
        <is>
          <t>Modelo de negocio: SIEMPRE servicio de importación. Nunca reventa de stock. El coche se matricula a nombre del cliente;</t>
        </is>
      </c>
    </row>
    <row r="5">
      <c r="B5" s="2" t="inlineStr">
        <is>
          <t>tú cobras honorarios por el servicio de gestión (no un margen de reventa).</t>
        </is>
      </c>
    </row>
    <row r="6">
      <c r="B6" s="2" t="inlineStr"/>
    </row>
    <row r="7">
      <c r="B7" s="3" t="inlineStr">
        <is>
          <t>Cómo usarlo:</t>
        </is>
      </c>
    </row>
    <row r="8">
      <c r="B8" s="2" t="inlineStr">
        <is>
          <t xml:space="preserve">  1) Rellena la hoja 'Vehículo y resumen' con los datos del anuncio y la investigación.</t>
        </is>
      </c>
    </row>
    <row r="9">
      <c r="B9" s="2" t="inlineStr">
        <is>
          <t xml:space="preserve">  2) Rellena la hoja 'Presupuesto': costes de importación + tus honorarios. El total y el beneficio se calculan solos.</t>
        </is>
      </c>
    </row>
    <row r="10">
      <c r="B10" s="2" t="inlineStr">
        <is>
          <t xml:space="preserve">  3) Usa las hojas de checklists, cronograma, contactos y mensajes durante la operación.</t>
        </is>
      </c>
    </row>
    <row r="11">
      <c r="B11" s="2" t="inlineStr"/>
    </row>
    <row r="12">
      <c r="B12" s="3" t="inlineStr">
        <is>
          <t>Leyenda de colores:</t>
        </is>
      </c>
    </row>
    <row r="13">
      <c r="B13" s="2" t="inlineStr">
        <is>
          <t xml:space="preserve">  • Celdas AMARILLAS = las rellenas tú (datos de entrada).</t>
        </is>
      </c>
    </row>
    <row r="14">
      <c r="B14" s="2" t="inlineStr">
        <is>
          <t xml:space="preserve">  • Celdas BLANCAS con número = fórmulas automáticas (no las toques).</t>
        </is>
      </c>
    </row>
    <row r="15">
      <c r="B15" s="2" t="inlineStr">
        <is>
          <t xml:space="preserve">  • Celdas AZULES = total al cliente.   • Celdas VERDES = tu beneficio.</t>
        </is>
      </c>
    </row>
    <row r="16">
      <c r="B16" s="2" t="inlineStr"/>
    </row>
    <row r="17">
      <c r="B17" s="2" t="inlineStr">
        <is>
          <t>Los valores que trae el archivo son un EJEMPLO (BMW 320d) para que veas el formato. Sustitúyelos por los del coche real.</t>
        </is>
      </c>
    </row>
    <row r="18">
      <c r="B18" s="2" t="inlineStr"/>
    </row>
    <row r="19">
      <c r="B19" s="2" t="inlineStr">
        <is>
          <t>Honorarios por tramo (orientativo): hasta 15.000 € → 1.500 € · 15.000–30.000 € → 2.000–2.500 € · +30.000 € → 2.500–3.500 € (o 8–10%).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5" customWidth="1" min="3" max="3"/>
  </cols>
  <sheetData>
    <row r="1" ht="26" customHeight="1">
      <c r="A1" s="1" t="inlineStr">
        <is>
          <t>VEHÍCULO Y RESUMEN</t>
        </is>
      </c>
    </row>
    <row r="3" ht="20" customHeight="1">
      <c r="A3" s="4" t="inlineStr">
        <is>
          <t>DATOS DEL VEHÍCULO</t>
        </is>
      </c>
    </row>
    <row r="4">
      <c r="A4" s="5" t="inlineStr">
        <is>
          <t>Campo</t>
        </is>
      </c>
      <c r="B4" s="5" t="inlineStr">
        <is>
          <t>Valor</t>
        </is>
      </c>
      <c r="C4" s="5" t="inlineStr">
        <is>
          <t>Notas</t>
        </is>
      </c>
    </row>
    <row r="5">
      <c r="A5" s="5" t="inlineStr">
        <is>
          <t>Marca y modelo</t>
        </is>
      </c>
      <c r="B5" s="6" t="inlineStr">
        <is>
          <t>BMW Serie 3 320d</t>
        </is>
      </c>
      <c r="C5" s="7" t="inlineStr"/>
    </row>
    <row r="6">
      <c r="A6" s="5" t="inlineStr">
        <is>
          <t>Motorización</t>
        </is>
      </c>
      <c r="B6" s="6" t="inlineStr">
        <is>
          <t>2.0d 190 CV</t>
        </is>
      </c>
      <c r="C6" s="7" t="inlineStr"/>
    </row>
    <row r="7">
      <c r="A7" s="5" t="inlineStr">
        <is>
          <t>Combustible</t>
        </is>
      </c>
      <c r="B7" s="6" t="inlineStr">
        <is>
          <t>Diésel</t>
        </is>
      </c>
      <c r="C7" s="7" t="inlineStr"/>
    </row>
    <row r="8">
      <c r="A8" s="5" t="inlineStr">
        <is>
          <t>Cambio</t>
        </is>
      </c>
      <c r="B8" s="6" t="inlineStr">
        <is>
          <t>Automático</t>
        </is>
      </c>
      <c r="C8" s="7" t="inlineStr"/>
    </row>
    <row r="9">
      <c r="A9" s="5" t="inlineStr">
        <is>
          <t>Tracción</t>
        </is>
      </c>
      <c r="B9" s="6" t="inlineStr">
        <is>
          <t>Trasera</t>
        </is>
      </c>
      <c r="C9" s="7" t="inlineStr"/>
    </row>
    <row r="10">
      <c r="A10" s="5" t="inlineStr">
        <is>
          <t>Puertas / plazas</t>
        </is>
      </c>
      <c r="B10" s="6" t="inlineStr">
        <is>
          <t>4 / 5</t>
        </is>
      </c>
      <c r="C10" s="7" t="inlineStr"/>
    </row>
    <row r="11">
      <c r="A11" s="5" t="inlineStr">
        <is>
          <t>Año / 1ª matriculación</t>
        </is>
      </c>
      <c r="B11" s="6" t="inlineStr">
        <is>
          <t>2020</t>
        </is>
      </c>
      <c r="C11" s="7" t="inlineStr"/>
    </row>
    <row r="12">
      <c r="A12" s="5" t="inlineStr">
        <is>
          <t>Kilometraje</t>
        </is>
      </c>
      <c r="B12" s="6" t="inlineStr">
        <is>
          <t>78000</t>
        </is>
      </c>
      <c r="C12" s="7" t="inlineStr"/>
    </row>
    <row r="13">
      <c r="A13" s="5" t="inlineStr">
        <is>
          <t>Nº de propietarios</t>
        </is>
      </c>
      <c r="B13" s="6" t="inlineStr">
        <is>
          <t>1</t>
        </is>
      </c>
      <c r="C13" s="7" t="inlineStr"/>
    </row>
    <row r="14">
      <c r="A14" s="5" t="inlineStr">
        <is>
          <t>Color exterior</t>
        </is>
      </c>
      <c r="B14" s="6" t="inlineStr">
        <is>
          <t>Gris Mineral</t>
        </is>
      </c>
      <c r="C14" s="7" t="inlineStr"/>
    </row>
    <row r="15">
      <c r="A15" s="5" t="inlineStr">
        <is>
          <t>Color / tapicería interior</t>
        </is>
      </c>
      <c r="B15" s="6" t="inlineStr">
        <is>
          <t>Cuero negro</t>
        </is>
      </c>
      <c r="C15" s="7" t="inlineStr"/>
    </row>
    <row r="16">
      <c r="A16" s="5" t="inlineStr">
        <is>
          <t>Equipamiento destacado</t>
        </is>
      </c>
      <c r="B16" s="6" t="inlineStr">
        <is>
          <t>Pack M, LED, navegación, cámara</t>
        </is>
      </c>
      <c r="C16" s="7" t="inlineStr"/>
    </row>
    <row r="17">
      <c r="A17" s="5" t="inlineStr">
        <is>
          <t>Precio anuncio (con IVA origen)</t>
        </is>
      </c>
      <c r="B17" s="6" t="inlineStr">
        <is>
          <t>24000</t>
        </is>
      </c>
      <c r="C17" s="7" t="inlineStr"/>
    </row>
    <row r="18">
      <c r="A18" s="5" t="inlineStr">
        <is>
          <t>CO₂ homologado (g/km)</t>
        </is>
      </c>
      <c r="B18" s="6" t="inlineStr"/>
      <c r="C18" s="7" t="inlineStr">
        <is>
          <t>Pendiente confirmar con COC — alimenta el IEDMT</t>
        </is>
      </c>
    </row>
    <row r="19">
      <c r="A19" s="5" t="inlineStr">
        <is>
          <t>Garantía ofrecida por vendedor</t>
        </is>
      </c>
      <c r="B19" s="6" t="inlineStr"/>
      <c r="C19" s="7" t="inlineStr"/>
    </row>
    <row r="20">
      <c r="A20" s="5" t="inlineStr">
        <is>
          <t>Accidentes declarados</t>
        </is>
      </c>
      <c r="B20" s="6" t="inlineStr">
        <is>
          <t>No</t>
        </is>
      </c>
      <c r="C20" s="7" t="inlineStr"/>
    </row>
    <row r="21">
      <c r="A21" s="5" t="inlineStr">
        <is>
          <t>Historial de mantenimiento</t>
        </is>
      </c>
      <c r="B21" s="6" t="inlineStr">
        <is>
          <t>Scheckheft completo</t>
        </is>
      </c>
      <c r="C21" s="7" t="inlineStr"/>
    </row>
    <row r="22">
      <c r="A22" s="5" t="inlineStr">
        <is>
          <t>Vendedor: tipo</t>
        </is>
      </c>
      <c r="B22" s="6" t="inlineStr">
        <is>
          <t>Profesional</t>
        </is>
      </c>
      <c r="C22" s="7" t="inlineStr"/>
    </row>
    <row r="23">
      <c r="A23" s="5" t="inlineStr">
        <is>
          <t>Vendedor: nombre y ubicación</t>
        </is>
      </c>
      <c r="B23" s="6" t="inlineStr"/>
      <c r="C23" s="7" t="inlineStr"/>
    </row>
    <row r="24">
      <c r="A24" s="5" t="inlineStr">
        <is>
          <t>URL del anuncio</t>
        </is>
      </c>
      <c r="B24" s="6" t="inlineStr"/>
      <c r="C24" s="7" t="inlineStr"/>
    </row>
    <row r="25">
      <c r="A25" s="5" t="inlineStr">
        <is>
          <t>Enlace a fotos</t>
        </is>
      </c>
      <c r="B25" s="6" t="inlineStr"/>
      <c r="C25" s="7" t="inlineStr"/>
    </row>
    <row r="26">
      <c r="A26" s="5" t="inlineStr">
        <is>
          <t>Persona de contacto</t>
        </is>
      </c>
      <c r="B26" s="6" t="inlineStr"/>
      <c r="C26" s="7" t="inlineStr"/>
    </row>
    <row r="27">
      <c r="A27" s="5" t="inlineStr">
        <is>
          <t>Fecha de la captura</t>
        </is>
      </c>
      <c r="B27" s="6" t="inlineStr"/>
      <c r="C27" s="7" t="inlineStr"/>
    </row>
    <row r="29" ht="20" customHeight="1">
      <c r="A29" s="4" t="inlineStr">
        <is>
          <t>INVESTIGACIÓN DEL MODELO</t>
        </is>
      </c>
    </row>
    <row r="30">
      <c r="A30" s="5" t="inlineStr">
        <is>
          <t>Aspecto</t>
        </is>
      </c>
      <c r="B30" s="5" t="inlineStr">
        <is>
          <t>Hallazgo</t>
        </is>
      </c>
      <c r="C30" s="5" t="inlineStr">
        <is>
          <t>Fuente / URL</t>
        </is>
      </c>
    </row>
    <row r="31">
      <c r="A31" s="5" t="inlineStr">
        <is>
          <t>Averías / problemas comunes del motor</t>
        </is>
      </c>
      <c r="B31" s="8" t="inlineStr"/>
      <c r="C31" s="8" t="inlineStr"/>
    </row>
    <row r="32">
      <c r="A32" s="5" t="inlineStr">
        <is>
          <t>Campañas de recall pendientes</t>
        </is>
      </c>
      <c r="B32" s="8" t="inlineStr"/>
      <c r="C32" s="8" t="inlineStr"/>
    </row>
    <row r="33">
      <c r="A33" s="5" t="inlineStr">
        <is>
          <t>Rango de precio de mercado real</t>
        </is>
      </c>
      <c r="B33" s="8" t="inlineStr"/>
      <c r="C33" s="8" t="inlineStr"/>
    </row>
    <row r="34">
      <c r="A34" s="5" t="inlineStr">
        <is>
          <t>Fiabilidad general / opinión media</t>
        </is>
      </c>
      <c r="B34" s="8" t="inlineStr"/>
      <c r="C34" s="8" t="inlineStr"/>
    </row>
    <row r="35">
      <c r="A35" s="5" t="inlineStr">
        <is>
          <t>Otros datos relevantes de la unidad</t>
        </is>
      </c>
      <c r="B35" s="8" t="inlineStr"/>
      <c r="C35" s="8" t="inlineStr"/>
    </row>
    <row r="37" ht="20" customHeight="1">
      <c r="A37" s="4" t="inlineStr">
        <is>
          <t>RESUMEN EJECUTIVO</t>
        </is>
      </c>
    </row>
    <row r="38">
      <c r="A38" s="5" t="inlineStr">
        <is>
          <t>Precio del vehículo</t>
        </is>
      </c>
      <c r="B38" s="9">
        <f>Presupuesto!B11</f>
        <v/>
      </c>
    </row>
    <row r="39">
      <c r="A39" s="5" t="inlineStr">
        <is>
          <t>TOTAL todo incluido (cliente)</t>
        </is>
      </c>
      <c r="B39" s="10">
        <f>Presupuesto!B24</f>
        <v/>
      </c>
    </row>
    <row r="40">
      <c r="A40" s="5" t="inlineStr">
        <is>
          <t>Honorario del servicio</t>
        </is>
      </c>
      <c r="B40" s="9">
        <f>Presupuesto!B21</f>
        <v/>
      </c>
    </row>
    <row r="41">
      <c r="A41" s="5" t="inlineStr">
        <is>
          <t>Beneficio neto del servicio</t>
        </is>
      </c>
      <c r="B41" s="11">
        <f>Presupuesto!B29</f>
        <v/>
      </c>
    </row>
    <row r="42">
      <c r="A42" s="5" t="inlineStr">
        <is>
          <t>Canal</t>
        </is>
      </c>
      <c r="B42" s="12">
        <f>Presupuesto!B5</f>
        <v/>
      </c>
    </row>
    <row r="43">
      <c r="A43" s="5" t="inlineStr">
        <is>
          <t>Estado de la operación</t>
        </is>
      </c>
      <c r="B43" s="12">
        <f>Presupuesto!B6</f>
        <v/>
      </c>
    </row>
  </sheetData>
  <mergeCells count="4">
    <mergeCell ref="A1:C1"/>
    <mergeCell ref="A37:C37"/>
    <mergeCell ref="A3:C3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</cols>
  <sheetData>
    <row r="1" ht="26" customHeight="1">
      <c r="A1" s="1" t="inlineStr">
        <is>
          <t>PRESUPUESTO DE LA OPERACIÓN</t>
        </is>
      </c>
    </row>
    <row r="3" ht="20" customHeight="1">
      <c r="A3" s="4" t="inlineStr">
        <is>
          <t>DATOS DE LA OPERACIÓN</t>
        </is>
      </c>
    </row>
    <row r="4">
      <c r="A4" s="5" t="inlineStr">
        <is>
          <t>Cliente</t>
        </is>
      </c>
      <c r="B4" s="13" t="inlineStr"/>
    </row>
    <row r="5">
      <c r="A5" s="5" t="inlineStr">
        <is>
          <t>Canal (Encargo / Catálogo)</t>
        </is>
      </c>
      <c r="B5" s="13" t="inlineStr">
        <is>
          <t>Catálogo</t>
        </is>
      </c>
    </row>
    <row r="6">
      <c r="A6" s="5" t="inlineStr">
        <is>
          <t>Estado</t>
        </is>
      </c>
      <c r="B6" s="13" t="inlineStr">
        <is>
          <t>Valorando</t>
        </is>
      </c>
    </row>
    <row r="7">
      <c r="A7" s="5" t="inlineStr">
        <is>
          <t>Fecha</t>
        </is>
      </c>
      <c r="B7" s="13" t="inlineStr"/>
    </row>
    <row r="9" ht="20" customHeight="1">
      <c r="A9" s="4" t="inlineStr">
        <is>
          <t>COSTES DE LA OPERACIÓN (los asume el cliente — se repercuten)</t>
        </is>
      </c>
    </row>
    <row r="10">
      <c r="A10" s="5" t="inlineStr">
        <is>
          <t>Concepto</t>
        </is>
      </c>
      <c r="B10" s="5" t="inlineStr">
        <is>
          <t>Importe</t>
        </is>
      </c>
      <c r="C10" s="5" t="inlineStr">
        <is>
          <t>Notas</t>
        </is>
      </c>
    </row>
    <row r="11">
      <c r="A11" t="inlineStr">
        <is>
          <t>Precio del vehículo</t>
        </is>
      </c>
      <c r="B11" s="14" t="n">
        <v>24000</v>
      </c>
      <c r="C11" s="15" t="inlineStr"/>
    </row>
    <row r="12">
      <c r="A12" t="inlineStr">
        <is>
          <t>Transporte a España</t>
        </is>
      </c>
      <c r="B12" s="14" t="n">
        <v>1200</v>
      </c>
      <c r="C12" s="15" t="inlineStr"/>
    </row>
    <row r="13">
      <c r="A13" t="inlineStr">
        <is>
          <t>ITV de importación</t>
        </is>
      </c>
      <c r="B13" s="14" t="n">
        <v>150</v>
      </c>
      <c r="C13" s="15" t="inlineStr"/>
    </row>
    <row r="14">
      <c r="A14" t="inlineStr">
        <is>
          <t>Gestión documental / COC</t>
        </is>
      </c>
      <c r="B14" s="14" t="n">
        <v>400</v>
      </c>
      <c r="C14" s="15" t="inlineStr"/>
    </row>
    <row r="15">
      <c r="A15" t="inlineStr">
        <is>
          <t>Tasas DGT</t>
        </is>
      </c>
      <c r="B15" s="14" t="n">
        <v>100</v>
      </c>
      <c r="C15" s="15" t="inlineStr"/>
    </row>
    <row r="16">
      <c r="A16" t="inlineStr">
        <is>
          <t>IEDMT (estimado)</t>
        </is>
      </c>
      <c r="B16" s="14" t="n">
        <v>1900</v>
      </c>
      <c r="C16" s="15" t="inlineStr">
        <is>
          <t>Depende del CO₂ homologado (COC)</t>
        </is>
      </c>
    </row>
    <row r="17">
      <c r="A17" s="5" t="inlineStr">
        <is>
          <t>Subtotal costes de importación</t>
        </is>
      </c>
      <c r="B17" s="9">
        <f>SUM(B12:B16)</f>
        <v/>
      </c>
      <c r="C17" s="15" t="inlineStr">
        <is>
          <t>(sin contar el precio del vehículo)</t>
        </is>
      </c>
    </row>
    <row r="19" ht="20" customHeight="1">
      <c r="A19" s="4" t="inlineStr">
        <is>
          <t>HONORARIOS DEL SERVICIO (tu ingreso)</t>
        </is>
      </c>
    </row>
    <row r="20">
      <c r="A20" s="5" t="inlineStr">
        <is>
          <t>Honorario sugerido (según tramo)</t>
        </is>
      </c>
      <c r="B20" s="16">
        <f>IF(B11&lt;=15000,1500,IF(B11&lt;=30000,2250,MAX(2500,B11*0.09)))</f>
        <v/>
      </c>
      <c r="C20" s="15" t="inlineStr">
        <is>
          <t>Orientativo — ajústalo</t>
        </is>
      </c>
    </row>
    <row r="21">
      <c r="A21" s="5" t="inlineStr">
        <is>
          <t>Honorario aplicado</t>
        </is>
      </c>
      <c r="B21" s="14" t="n">
        <v>2250</v>
      </c>
    </row>
    <row r="23" ht="20" customHeight="1">
      <c r="A23" s="4" t="inlineStr">
        <is>
          <t>PRECIO AL CLIENTE</t>
        </is>
      </c>
    </row>
    <row r="24">
      <c r="A24" s="17" t="inlineStr">
        <is>
          <t>TOTAL TODO INCLUIDO</t>
        </is>
      </c>
      <c r="B24" s="18">
        <f>B11+B17+B21</f>
        <v/>
      </c>
      <c r="C24" s="15" t="inlineStr">
        <is>
          <t>Lo que paga el cliente, matriculado en España</t>
        </is>
      </c>
    </row>
    <row r="26" ht="20" customHeight="1">
      <c r="A26" s="4" t="inlineStr">
        <is>
          <t>TU ECONOMÍA</t>
        </is>
      </c>
    </row>
    <row r="27">
      <c r="A27" s="5" t="inlineStr">
        <is>
          <t>Ingreso del servicio</t>
        </is>
      </c>
      <c r="B27" s="16">
        <f>B21</f>
        <v/>
      </c>
    </row>
    <row r="28">
      <c r="A28" s="5" t="inlineStr">
        <is>
          <t>Costes propios no repercutidos</t>
        </is>
      </c>
      <c r="B28" s="14" t="n">
        <v>500</v>
      </c>
      <c r="C28" s="15" t="inlineStr">
        <is>
          <t>Desplazamiento, peritaje propio, tu tiempo...</t>
        </is>
      </c>
    </row>
    <row r="29">
      <c r="A29" s="17" t="inlineStr">
        <is>
          <t>BENEFICIO NETO DEL SERVICIO</t>
        </is>
      </c>
      <c r="B29" s="19">
        <f>B27-B28</f>
        <v/>
      </c>
    </row>
    <row r="31" ht="20" customHeight="1">
      <c r="A31" s="4" t="inlineStr">
        <is>
          <t>PAGOS</t>
        </is>
      </c>
    </row>
    <row r="32">
      <c r="A32" s="5" t="inlineStr">
        <is>
          <t>Señal a la firma</t>
        </is>
      </c>
      <c r="B32" s="14" t="n">
        <v>500</v>
      </c>
    </row>
    <row r="33">
      <c r="A33" s="5" t="inlineStr">
        <is>
          <t>Resto a pagar</t>
        </is>
      </c>
      <c r="B33" s="16">
        <f>B24-B32</f>
        <v/>
      </c>
    </row>
    <row r="35" ht="20" customHeight="1">
      <c r="A35" s="4" t="inlineStr">
        <is>
          <t>TABLA DE HONORARIOS POR TRAMO (referencia)</t>
        </is>
      </c>
    </row>
    <row r="36">
      <c r="A36" s="5" t="inlineStr">
        <is>
          <t>Precio del vehículo</t>
        </is>
      </c>
      <c r="B36" s="5" t="inlineStr">
        <is>
          <t>Honorario</t>
        </is>
      </c>
    </row>
    <row r="37">
      <c r="A37" t="inlineStr">
        <is>
          <t>Hasta 15.000 €</t>
        </is>
      </c>
      <c r="B37" t="inlineStr">
        <is>
          <t>1.500 €</t>
        </is>
      </c>
    </row>
    <row r="38">
      <c r="A38" t="inlineStr">
        <is>
          <t>15.000 – 30.000 €</t>
        </is>
      </c>
      <c r="B38" t="inlineStr">
        <is>
          <t>2.000 – 2.500 €</t>
        </is>
      </c>
    </row>
    <row r="39">
      <c r="A39" t="inlineStr">
        <is>
          <t>Más de 30.000 €</t>
        </is>
      </c>
      <c r="B39" t="inlineStr">
        <is>
          <t>2.500 – 3.500 € (o 8–10%)</t>
        </is>
      </c>
    </row>
  </sheetData>
  <mergeCells count="8">
    <mergeCell ref="A19:C19"/>
    <mergeCell ref="A1:C1"/>
    <mergeCell ref="A23:C23"/>
    <mergeCell ref="A31:C31"/>
    <mergeCell ref="A9:C9"/>
    <mergeCell ref="A3:C3"/>
    <mergeCell ref="A35:C35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40" customWidth="1" min="3" max="3"/>
  </cols>
  <sheetData>
    <row r="1" ht="26" customHeight="1">
      <c r="A1" s="1" t="inlineStr">
        <is>
          <t>CHECKLIST DE INSPECCIÓN / PERITAJE</t>
        </is>
      </c>
    </row>
    <row r="3">
      <c r="A3" s="5" t="inlineStr">
        <is>
          <t>Punto a revisar</t>
        </is>
      </c>
      <c r="B3" s="5" t="inlineStr">
        <is>
          <t>OK / KO</t>
        </is>
      </c>
      <c r="C3" s="5" t="inlineStr">
        <is>
          <t>Observaciones</t>
        </is>
      </c>
    </row>
    <row r="4">
      <c r="A4" s="20" t="inlineStr">
        <is>
          <t>Coincidencia VIN en chasis, luna y documentación</t>
        </is>
      </c>
      <c r="B4" s="13" t="inlineStr"/>
      <c r="C4" s="13" t="inlineStr"/>
    </row>
    <row r="5">
      <c r="A5" s="20" t="inlineStr">
        <is>
          <t>Kilometraje coherente con desgaste (volante, asiento, pedales)</t>
        </is>
      </c>
      <c r="B5" s="13" t="inlineStr"/>
      <c r="C5" s="13" t="inlineStr"/>
    </row>
    <row r="6">
      <c r="A6" s="20" t="inlineStr">
        <is>
          <t>Historial de mantenimiento (Scheckheft) completo y sellado</t>
        </is>
      </c>
      <c r="B6" s="13" t="inlineStr"/>
      <c r="C6" s="13" t="inlineStr"/>
    </row>
    <row r="7">
      <c r="A7" s="20" t="inlineStr">
        <is>
          <t>Estado de carrocería: holguras, pintura, óxido, señales de golpe</t>
        </is>
      </c>
      <c r="B7" s="13" t="inlineStr"/>
      <c r="C7" s="13" t="inlineStr"/>
    </row>
    <row r="8">
      <c r="A8" s="20" t="inlineStr">
        <is>
          <t>Bajos y estructura: sin deformaciones ni soldaduras</t>
        </is>
      </c>
      <c r="B8" s="13" t="inlineStr"/>
      <c r="C8" s="13" t="inlineStr"/>
    </row>
    <row r="9">
      <c r="A9" s="20" t="inlineStr">
        <is>
          <t>Motor en frío: arranque, ruidos, humos, testigos</t>
        </is>
      </c>
      <c r="B9" s="13" t="inlineStr"/>
      <c r="C9" s="13" t="inlineStr"/>
    </row>
    <row r="10">
      <c r="A10" s="20" t="inlineStr">
        <is>
          <t>Nivel y estado de aceite y líquidos</t>
        </is>
      </c>
      <c r="B10" s="13" t="inlineStr"/>
      <c r="C10" s="13" t="inlineStr"/>
    </row>
    <row r="11">
      <c r="A11" s="20" t="inlineStr">
        <is>
          <t>Distribución/cadena: revisar según motor (avería típica)</t>
        </is>
      </c>
      <c r="B11" s="13" t="inlineStr"/>
      <c r="C11" s="13" t="inlineStr"/>
    </row>
    <row r="12">
      <c r="A12" s="20" t="inlineStr">
        <is>
          <t>Cambio automático: cambios suaves, sin tirones</t>
        </is>
      </c>
      <c r="B12" s="13" t="inlineStr"/>
      <c r="C12" s="13" t="inlineStr"/>
    </row>
    <row r="13">
      <c r="A13" s="20" t="inlineStr">
        <is>
          <t>Neumáticos: desgaste uniforme y antigüedad</t>
        </is>
      </c>
      <c r="B13" s="13" t="inlineStr"/>
      <c r="C13" s="13" t="inlineStr"/>
    </row>
    <row r="14">
      <c r="A14" s="20" t="inlineStr">
        <is>
          <t>Frenos: discos y pastillas</t>
        </is>
      </c>
      <c r="B14" s="13" t="inlineStr"/>
      <c r="C14" s="13" t="inlineStr"/>
    </row>
    <row r="15">
      <c r="A15" s="20" t="inlineStr">
        <is>
          <t>Suspensión: ruidos y rebotes</t>
        </is>
      </c>
      <c r="B15" s="13" t="inlineStr"/>
      <c r="C15" s="13" t="inlineStr"/>
    </row>
    <row r="16">
      <c r="A16" s="20" t="inlineStr">
        <is>
          <t>Electrónica: climatizador, pantalla, cámaras, asistentes</t>
        </is>
      </c>
      <c r="B16" s="13" t="inlineStr"/>
      <c r="C16" s="13" t="inlineStr"/>
    </row>
    <row r="17">
      <c r="A17" s="20" t="inlineStr">
        <is>
          <t>Prueba en carretera (si posible)</t>
        </is>
      </c>
      <c r="B17" s="13" t="inlineStr"/>
      <c r="C17" s="13" t="inlineStr"/>
    </row>
    <row r="18">
      <c r="A18" s="20" t="inlineStr">
        <is>
          <t>Comprobar campañas de recall pendientes (VIN)</t>
        </is>
      </c>
      <c r="B18" s="13" t="inlineStr"/>
      <c r="C18" s="13" t="inlineStr"/>
    </row>
    <row r="19">
      <c r="A19" s="20" t="inlineStr">
        <is>
          <t>Fotos de todos los defectos encontrados</t>
        </is>
      </c>
      <c r="B19" s="13" t="inlineStr"/>
      <c r="C19" s="13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40" customWidth="1" min="3" max="3"/>
  </cols>
  <sheetData>
    <row r="1" ht="26" customHeight="1">
      <c r="A1" s="1" t="inlineStr">
        <is>
          <t>CHECKLIST DE DOCUMENTACIÓN</t>
        </is>
      </c>
    </row>
    <row r="3">
      <c r="A3" s="5" t="inlineStr">
        <is>
          <t>Documento</t>
        </is>
      </c>
      <c r="B3" s="5" t="inlineStr">
        <is>
          <t>Estado</t>
        </is>
      </c>
      <c r="C3" s="5" t="inlineStr">
        <is>
          <t>Notas</t>
        </is>
      </c>
    </row>
    <row r="4">
      <c r="A4" s="20" t="inlineStr">
        <is>
          <t>Contrato de compraventa alemán (Kaufvertrag)</t>
        </is>
      </c>
      <c r="B4" s="13" t="inlineStr"/>
      <c r="C4" s="13" t="inlineStr"/>
    </row>
    <row r="5">
      <c r="A5" s="20" t="inlineStr">
        <is>
          <t>COC (Certificado de Conformidad)</t>
        </is>
      </c>
      <c r="B5" s="13" t="inlineStr"/>
      <c r="C5" s="13" t="inlineStr"/>
    </row>
    <row r="6">
      <c r="A6" s="20" t="inlineStr">
        <is>
          <t>Fahrzeugbrief (Parte II) / Fahrzeugschein (Parte I)</t>
        </is>
      </c>
      <c r="B6" s="13" t="inlineStr"/>
      <c r="C6" s="13" t="inlineStr"/>
    </row>
    <row r="7">
      <c r="A7" s="20" t="inlineStr">
        <is>
          <t>Justificante de pago al vendedor</t>
        </is>
      </c>
      <c r="B7" s="13" t="inlineStr"/>
      <c r="C7" s="13" t="inlineStr"/>
    </row>
    <row r="8">
      <c r="A8" s="20" t="inlineStr">
        <is>
          <t>Contrato de encargo firmado con el cliente</t>
        </is>
      </c>
      <c r="B8" s="13" t="inlineStr"/>
      <c r="C8" s="13" t="inlineStr"/>
    </row>
    <row r="9">
      <c r="A9" s="20" t="inlineStr">
        <is>
          <t>Señal del cliente recibida</t>
        </is>
      </c>
      <c r="B9" s="13" t="inlineStr"/>
      <c r="C9" s="13" t="inlineStr"/>
    </row>
    <row r="10">
      <c r="A10" s="20" t="inlineStr">
        <is>
          <t>DNI/NIF del cliente para matriculación</t>
        </is>
      </c>
      <c r="B10" s="13" t="inlineStr"/>
      <c r="C10" s="13" t="inlineStr"/>
    </row>
    <row r="11">
      <c r="A11" s="20" t="inlineStr">
        <is>
          <t>ITV de importación favorable</t>
        </is>
      </c>
      <c r="B11" s="13" t="inlineStr"/>
      <c r="C11" s="13" t="inlineStr"/>
    </row>
    <row r="12">
      <c r="A12" s="20" t="inlineStr">
        <is>
          <t>Ficha técnica española</t>
        </is>
      </c>
      <c r="B12" s="13" t="inlineStr"/>
      <c r="C12" s="13" t="inlineStr"/>
    </row>
    <row r="13">
      <c r="A13" s="20" t="inlineStr">
        <is>
          <t>Justificante liquidación IEDMT (mod. 576)</t>
        </is>
      </c>
      <c r="B13" s="13" t="inlineStr"/>
      <c r="C13" s="13" t="inlineStr"/>
    </row>
    <row r="14">
      <c r="A14" s="20" t="inlineStr">
        <is>
          <t>Impuesto circulación (IVTM) al día</t>
        </is>
      </c>
      <c r="B14" s="13" t="inlineStr"/>
      <c r="C14" s="13" t="inlineStr"/>
    </row>
    <row r="15">
      <c r="A15" s="20" t="inlineStr">
        <is>
          <t>Permiso de circulación a nombre del cliente</t>
        </is>
      </c>
      <c r="B15" s="13" t="inlineStr"/>
      <c r="C15" s="13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20" customWidth="1" min="4" max="4"/>
  </cols>
  <sheetData>
    <row r="1" ht="26" customHeight="1">
      <c r="A1" s="1" t="inlineStr">
        <is>
          <t>CRONOGRAMA LOGÍSTICO</t>
        </is>
      </c>
    </row>
    <row r="3">
      <c r="A3" s="5" t="inlineStr">
        <is>
          <t>Fase</t>
        </is>
      </c>
      <c r="B3" s="5" t="inlineStr">
        <is>
          <t>Fecha objetivo</t>
        </is>
      </c>
      <c r="C3" s="5" t="inlineStr">
        <is>
          <t>Fecha real</t>
        </is>
      </c>
      <c r="D3" s="5" t="inlineStr">
        <is>
          <t>Estado</t>
        </is>
      </c>
    </row>
    <row r="4">
      <c r="A4" s="20" t="inlineStr">
        <is>
          <t>1. Valoración y OK del cliente</t>
        </is>
      </c>
      <c r="B4" s="13" t="inlineStr"/>
      <c r="C4" s="13" t="inlineStr"/>
      <c r="D4" s="13" t="inlineStr"/>
    </row>
    <row r="5">
      <c r="A5" s="20" t="inlineStr">
        <is>
          <t>2. Contrato + señal</t>
        </is>
      </c>
      <c r="B5" s="13" t="inlineStr"/>
      <c r="C5" s="13" t="inlineStr"/>
      <c r="D5" s="13" t="inlineStr"/>
    </row>
    <row r="6">
      <c r="A6" s="20" t="inlineStr">
        <is>
          <t>3. Negociación con vendedor</t>
        </is>
      </c>
      <c r="B6" s="13" t="inlineStr"/>
      <c r="C6" s="13" t="inlineStr"/>
      <c r="D6" s="13" t="inlineStr"/>
    </row>
    <row r="7">
      <c r="A7" s="20" t="inlineStr">
        <is>
          <t>4. Peritaje</t>
        </is>
      </c>
      <c r="B7" s="13" t="inlineStr"/>
      <c r="C7" s="13" t="inlineStr"/>
      <c r="D7" s="13" t="inlineStr"/>
    </row>
    <row r="8">
      <c r="A8" s="20" t="inlineStr">
        <is>
          <t>5. Compra / pago</t>
        </is>
      </c>
      <c r="B8" s="13" t="inlineStr"/>
      <c r="C8" s="13" t="inlineStr"/>
      <c r="D8" s="13" t="inlineStr"/>
    </row>
    <row r="9">
      <c r="A9" s="20" t="inlineStr">
        <is>
          <t>6. Transporte a España</t>
        </is>
      </c>
      <c r="B9" s="13" t="inlineStr"/>
      <c r="C9" s="13" t="inlineStr"/>
      <c r="D9" s="13" t="inlineStr"/>
    </row>
    <row r="10">
      <c r="A10" s="20" t="inlineStr">
        <is>
          <t>7. ITV de importación</t>
        </is>
      </c>
      <c r="B10" s="13" t="inlineStr"/>
      <c r="C10" s="13" t="inlineStr"/>
      <c r="D10" s="13" t="inlineStr"/>
    </row>
    <row r="11">
      <c r="A11" s="20" t="inlineStr">
        <is>
          <t>8. IEDMT / tasas</t>
        </is>
      </c>
      <c r="B11" s="13" t="inlineStr"/>
      <c r="C11" s="13" t="inlineStr"/>
      <c r="D11" s="13" t="inlineStr"/>
    </row>
    <row r="12">
      <c r="A12" s="20" t="inlineStr">
        <is>
          <t>9. Matriculación DGT</t>
        </is>
      </c>
      <c r="B12" s="13" t="inlineStr"/>
      <c r="C12" s="13" t="inlineStr"/>
      <c r="D12" s="13" t="inlineStr"/>
    </row>
    <row r="13">
      <c r="A13" s="20" t="inlineStr">
        <is>
          <t>10. Preparación y entrega</t>
        </is>
      </c>
      <c r="B13" s="13" t="inlineStr"/>
      <c r="C13" s="13" t="inlineStr"/>
      <c r="D13" s="13" t="inlineStr"/>
    </row>
    <row r="14">
      <c r="A14" s="20" t="inlineStr">
        <is>
          <t>11. Reseña / postventa</t>
        </is>
      </c>
      <c r="B14" s="13" t="inlineStr"/>
      <c r="C14" s="13" t="inlineStr"/>
      <c r="D14" s="13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6" customWidth="1" min="4" max="4"/>
    <col width="30" customWidth="1" min="5" max="5"/>
  </cols>
  <sheetData>
    <row r="1" ht="26" customHeight="1">
      <c r="A1" s="1" t="inlineStr">
        <is>
          <t>CONTACTOS CLAVE</t>
        </is>
      </c>
    </row>
    <row r="3">
      <c r="A3" s="5" t="inlineStr">
        <is>
          <t>Rol</t>
        </is>
      </c>
      <c r="B3" s="5" t="inlineStr">
        <is>
          <t>Nombre / Entidad</t>
        </is>
      </c>
      <c r="C3" s="5" t="inlineStr">
        <is>
          <t>Teléfono</t>
        </is>
      </c>
      <c r="D3" s="5" t="inlineStr">
        <is>
          <t>Email</t>
        </is>
      </c>
      <c r="E3" s="5" t="inlineStr">
        <is>
          <t>Notas</t>
        </is>
      </c>
    </row>
    <row r="4">
      <c r="A4" s="5" t="inlineStr">
        <is>
          <t>Cliente</t>
        </is>
      </c>
      <c r="B4" s="13" t="inlineStr"/>
      <c r="C4" s="13" t="inlineStr"/>
      <c r="D4" s="13" t="inlineStr"/>
      <c r="E4" s="13" t="inlineStr"/>
    </row>
    <row r="5">
      <c r="A5" s="5" t="inlineStr">
        <is>
          <t>Vendedor (Alemania)</t>
        </is>
      </c>
      <c r="B5" s="13" t="inlineStr"/>
      <c r="C5" s="13" t="inlineStr"/>
      <c r="D5" s="13" t="inlineStr"/>
      <c r="E5" s="13" t="inlineStr"/>
    </row>
    <row r="6">
      <c r="A6" s="5" t="inlineStr">
        <is>
          <t>Transportista</t>
        </is>
      </c>
      <c r="B6" s="13" t="inlineStr"/>
      <c r="C6" s="13" t="inlineStr"/>
      <c r="D6" s="13" t="inlineStr"/>
      <c r="E6" s="13" t="inlineStr"/>
    </row>
    <row r="7">
      <c r="A7" s="5" t="inlineStr">
        <is>
          <t>Gestoría (matriculación)</t>
        </is>
      </c>
      <c r="B7" s="13" t="inlineStr"/>
      <c r="C7" s="13" t="inlineStr"/>
      <c r="D7" s="13" t="inlineStr"/>
      <c r="E7" s="13" t="inlineStr"/>
    </row>
    <row r="8">
      <c r="A8" s="5" t="inlineStr">
        <is>
          <t>Perito / mecánico</t>
        </is>
      </c>
      <c r="B8" s="13" t="inlineStr"/>
      <c r="C8" s="13" t="inlineStr"/>
      <c r="D8" s="13" t="inlineStr"/>
      <c r="E8" s="13" t="inlineStr"/>
    </row>
    <row r="9">
      <c r="A9" s="5" t="inlineStr">
        <is>
          <t>Taller ITV / preparación</t>
        </is>
      </c>
      <c r="B9" s="13" t="inlineStr"/>
      <c r="C9" s="13" t="inlineStr"/>
      <c r="D9" s="13" t="inlineStr"/>
      <c r="E9" s="13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6" customHeight="1">
      <c r="A1" s="1" t="inlineStr">
        <is>
          <t>PLANTILLAS DE MENSAJE</t>
        </is>
      </c>
    </row>
    <row r="3">
      <c r="A3" s="5" t="inlineStr">
        <is>
          <t>Situación</t>
        </is>
      </c>
      <c r="B3" s="5" t="inlineStr">
        <is>
          <t>Mensaje</t>
        </is>
      </c>
    </row>
    <row r="4" ht="95" customHeight="1">
      <c r="A4" s="21" t="inlineStr">
        <is>
          <t>Vendedor DE — primer contacto</t>
        </is>
      </c>
      <c r="B4" s="22" t="inlineStr">
        <is>
          <t>Sehr geehrte Damen und Herren,
ich interessiere mich für Ihr Fahrzeug [MODELL]. Ist es noch verfügbar? Könnten Sie mir bitte den technischen Zustand, das Scheckheft und eventuelle Mängel bestätigen?
Vielen Dank im Voraus.
Mit freundlichen Grüßen, JJ Import Motors</t>
        </is>
      </c>
    </row>
    <row r="5" ht="95" customHeight="1">
      <c r="A5" s="21" t="inlineStr">
        <is>
          <t>Vendedor DE — COC e IVA</t>
        </is>
      </c>
      <c r="B5" s="22" t="inlineStr">
        <is>
          <t>Guten Tag,
könnten Sie mir bitte bestätigen, ob die COC-Papiere (Übereinstimmungsbescheinigung) vorhanden sind und ob die MwSt. ausweisbar ist? Außerdem interessiert mich das vollständige Scheckheft.
Vielen Dank.
Mit freundlichen Grüßen, JJ Import Motors</t>
        </is>
      </c>
    </row>
    <row r="6" ht="95" customHeight="1">
      <c r="A6" s="21" t="inlineStr">
        <is>
          <t>Vendedor DE — reserva/cita</t>
        </is>
      </c>
      <c r="B6" s="22" t="inlineStr">
        <is>
          <t>Guten Tag,
ich würde das Fahrzeug gerne besichtigen und ggf. reservieren. Wären Sie mit einer Anzahlung einverstanden? Welcher Termin passt Ihnen?
Mit freundlichen Grüßen, JJ Import Motors</t>
        </is>
      </c>
    </row>
    <row r="7" ht="95" customHeight="1">
      <c r="A7" s="21" t="inlineStr">
        <is>
          <t>Cliente ES — envío de candidato</t>
        </is>
      </c>
      <c r="B7" s="22" t="inlineStr">
        <is>
          <t>Hola [CLIENTE], te paso un coche que encaja con lo que buscas: [MODELO], [AÑO], [KM] km. Precio TODO INCLUIDO, matriculado en España: [TOTAL] €. Te adjunto la ficha y fotos. ¿Lo vemos?</t>
        </is>
      </c>
    </row>
    <row r="8" ht="95" customHeight="1">
      <c r="A8" s="21" t="inlineStr">
        <is>
          <t>Cliente ES — presupuesto cerrado</t>
        </is>
      </c>
      <c r="B8" s="22" t="inlineStr">
        <is>
          <t>Hola [CLIENTE], este es el presupuesto todo incluido de [MODELO]: [TOTAL] € (coche + importación + trámites + mi servicio), entregado y matriculado. Con una señal de [SEÑAL] € arrancamos. ¿Adelante?</t>
        </is>
      </c>
    </row>
    <row r="9" ht="95" customHeight="1">
      <c r="A9" s="21" t="inlineStr">
        <is>
          <t>Cliente ES — entrega + reseña</t>
        </is>
      </c>
      <c r="B9" s="22" t="inlineStr">
        <is>
          <t>Hola [CLIENTE], ¡tu [MODELO] está listo! Toda la documentación en regla. Si has quedado contento, ¿me dejarías una reseña en Google? Me ayuda muchísimo. ¡Gracias por confiar en JJ Import Motors!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2026-07-16T20:13:55Z</dcterms:created>
  <dcterms:modified xmlns:dcterms="http://purl.org/dc/terms/" xmlns:xsi="http://www.w3.org/2001/XMLSchema-instance" xsi:type="dcterms:W3CDTF">2026-07-16T20:13:55Z</dcterms:modified>
</cp:coreProperties>
</file>