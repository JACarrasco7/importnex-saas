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gistro de opera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<sst xmlns="http://schemas.openxmlformats.org/spreadsheetml/2006/main" count="25" uniqueCount="25">
  <si>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Registro historico de operaciones de importacion</t>
  </si>
  <si>
    <t xml:space="preserve">Archivo independiente de la plantilla por operacion. Una fila por cada importacion, para llevar la cuenta de rentabilidad real a lo largo del tiempo.</t>
  </si>
  <si>
    <t xml:space="preserve">Como usarlo</t>
  </si>
  <si>
    <t xml:space="preserve">1. Cuando cierres una operacion (con su propia Plantilla_Importacion_Vehiculos), copia aqui una fila con los datos finales.</t>
  </si>
  <si>
    <t xml:space="preserve">2. 'Coste total' y 'Precio compra' se copian de la pestania 'Numeros' de esa plantilla (celdas B6 y B24).</t>
  </si>
  <si>
    <t xml:space="preserve">3. Rellena 'Precio venta' y 'Fecha venta' cuando se venda; el margen neto y el ROI se calculan solos.</t>
  </si>
  <si>
    <t xml:space="preserve">4. 'Estado' controla el total acumulado: solo se suman al total las filas marcadas como 'Vendido'.</t>
  </si>
  <si>
    <t xml:space="preserve">Codigo de colores: texto AZUL = entrada manual, texto NEGRO = formula (no tocar).</t>
  </si>
  <si>
    <t xml:space="preserve">Registro historico de operaciones</t>
  </si>
  <si>
    <t xml:space="preserve">Una fila por cada operacion de importacion por encargo. Sirve para llevar la cuenta de honorarios cobrados a lo largo del tiempo.</t>
  </si>
  <si>
    <t xml:space="preserve">Fecha compra</t>
  </si>
  <si>
    <t xml:space="preserve">Vehiculo</t>
  </si>
  <si>
    <t xml:space="preserve">Precio compra</t>
  </si>
  <si>
    <t xml:space="preserve">Coste total</t>
  </si>
  <si>
    <t xml:space="preserve">Precio todo incluido cobrado</t>
  </si>
  <si>
    <t xml:space="preserve">Fecha de cierre</t>
  </si>
  <si>
    <t xml:space="preserve">Honorarios cobrados</t>
  </si>
  <si>
    <t xml:space="preserve">Honorarios/Coste (%)</t>
  </si>
  <si>
    <t xml:space="preserve">Estado</t>
  </si>
  <si>
    <t xml:space="preserve">Notas</t>
  </si>
  <si>
    <t xml:space="preserve">01/07/2026</t>
  </si>
  <si>
    <t xml:space="preserve">VW Golf VII R-Line 1.0 TSI DSG</t>
  </si>
  <si>
    <t xml:space="preserve">En curso</t>
  </si>
  <si>
    <t xml:space="preserve">Servicio de importacion por encargo (ejemplo). Coche matriculado a nombre del cliente.</t>
  </si>
  <si>
    <t xml:space="preserve">Honorarios totales cobrados (operaciones cerradas)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</si>
</sst>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Arial"/>
      <family val="0"/>
      <charset val="1"/>
    </font>
    <font>
      <i val="true"/>
      <sz val="10"/>
      <color rgb="FF5A6472"/>
      <name val="Arial"/>
      <family val="0"/>
      <charset val="1"/>
    </font>
    <font>
      <b val="true"/>
      <sz val="11"/>
      <color rgb="FFE8590C"/>
      <name val="Arial"/>
      <family val="0"/>
      <charset val="1"/>
    </font>
    <font>
      <sz val="10"/>
      <color rgb="FF2226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2262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5E"/>
        <bgColor rgb="FF22262B"/>
      </patternFill>
    </fill>
    <fill>
      <patternFill patternType="solid">
        <fgColor rgb="FFF4F6F8"/>
        <bgColor rgb="FFFFFFFF"/>
      </patternFill>
    </fill>
    <fill>
      <patternFill patternType="solid">
        <fgColor rgb="FF0B1F3A"/>
        <bgColor rgb="FF22262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90C"/>
      <rgbColor rgb="FF5A6472"/>
      <rgbColor rgb="FF969696"/>
      <rgbColor rgb="FF1C3A5E"/>
      <rgbColor rgb="FF339966"/>
      <rgbColor rgb="FF0B1F3A"/>
      <rgbColor rgb="FF333300"/>
      <rgbColor rgb="FF993300"/>
      <rgbColor rgb="FF993366"/>
      <rgbColor rgb="FF333399"/>
      <rgbColor rgb="FF2226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0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1" customFormat="false" ht="15" hidden="false" customHeight="true" outlineLevel="0" collapsed="false">
      <c r="B11" s="5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30"/>
  </cols>
  <sheetData>
    <row r="1" customFormat="false" ht="17.25" hidden="false" customHeight="true" outlineLevel="0" collapsed="false">
      <c r="A1" s="2" t="s">
        <v>8</v>
      </c>
    </row>
    <row r="2" customFormat="false" ht="15" hidden="false" customHeight="true" outlineLevel="0" collapsed="false">
      <c r="A2" s="3" t="s">
        <v>9</v>
      </c>
    </row>
    <row r="4" customFormat="false" ht="15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customFormat="false" ht="15" hidden="false" customHeight="true" outlineLevel="0" collapsed="false">
      <c r="A5" s="7" t="s">
        <v>20</v>
      </c>
      <c r="B5" s="7" t="s">
        <v>21</v>
      </c>
      <c r="C5" s="7" t="n">
        <v>12990</v>
      </c>
      <c r="D5" s="7" t="n">
        <v>13785</v>
      </c>
      <c r="E5" s="7" t="n">
        <v>15500</v>
      </c>
      <c r="F5" s="7"/>
      <c r="G5" s="8" t="n">
        <f aca="false">IF(E5="","",E5-D5)</f>
        <v>1715</v>
      </c>
      <c r="H5" s="9" t="n">
        <f aca="false">IF(OR(E5="",D5=0),"",(E5-D5)/D5)</f>
        <v>0.124410591222343</v>
      </c>
      <c r="I5" s="7" t="s">
        <v>22</v>
      </c>
      <c r="J5" s="7" t="s">
        <v>23</v>
      </c>
    </row>
    <row r="6" customFormat="false" ht="15" hidden="false" customHeight="true" outlineLevel="0" collapsed="false">
      <c r="G6" s="5" t="str">
        <f aca="false">IF(E6="","",E6-D6)</f>
        <v/>
      </c>
      <c r="H6" s="10" t="str">
        <f aca="false">IF(OR(E6="",D6=0),"",(E6-D6)/D6)</f>
        <v/>
      </c>
    </row>
    <row r="7" customFormat="false" ht="15" hidden="false" customHeight="true" outlineLevel="0" collapsed="false">
      <c r="A7" s="11"/>
      <c r="B7" s="11"/>
      <c r="C7" s="11"/>
      <c r="D7" s="11"/>
      <c r="E7" s="11"/>
      <c r="F7" s="11"/>
      <c r="G7" s="8" t="str">
        <f aca="false">IF(E7="","",E7-D7)</f>
        <v/>
      </c>
      <c r="H7" s="9" t="str">
        <f aca="false">IF(OR(E7="",D7=0),"",(E7-D7)/D7)</f>
        <v/>
      </c>
      <c r="I7" s="11"/>
      <c r="J7" s="11"/>
    </row>
    <row r="8" customFormat="false" ht="15" hidden="false" customHeight="true" outlineLevel="0" collapsed="false">
      <c r="G8" s="5" t="str">
        <f aca="false">IF(E8="","",E8-D8)</f>
        <v/>
      </c>
      <c r="H8" s="10" t="str">
        <f aca="false">IF(OR(E8="",D8=0),"",(E8-D8)/D8)</f>
        <v/>
      </c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  <c r="G9" s="8" t="str">
        <f aca="false">IF(E9="","",E9-D9)</f>
        <v/>
      </c>
      <c r="H9" s="9" t="str">
        <f aca="false">IF(OR(E9="",D9=0),"",(E9-D9)/D9)</f>
        <v/>
      </c>
      <c r="I9" s="11"/>
      <c r="J9" s="11"/>
    </row>
    <row r="10" customFormat="false" ht="15" hidden="false" customHeight="true" outlineLevel="0" collapsed="false">
      <c r="G10" s="5" t="str">
        <f aca="false">IF(E10="","",E10-D10)</f>
        <v/>
      </c>
      <c r="H10" s="10" t="str">
        <f aca="false">IF(OR(E10="",D10=0),"",(E10-D10)/D10)</f>
        <v/>
      </c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8" t="str">
        <f aca="false">IF(E11="","",E11-D11)</f>
        <v/>
      </c>
      <c r="H11" s="9" t="str">
        <f aca="false">IF(OR(E11="",D11=0),"",(E11-D11)/D11)</f>
        <v/>
      </c>
      <c r="I11" s="11"/>
      <c r="J11" s="11"/>
    </row>
    <row r="12" customFormat="false" ht="15" hidden="false" customHeight="true" outlineLevel="0" collapsed="false">
      <c r="G12" s="5" t="str">
        <f aca="false">IF(E12="","",E12-D12)</f>
        <v/>
      </c>
      <c r="H12" s="10" t="str">
        <f aca="false">IF(OR(E12="",D12=0),"",(E12-D12)/D12)</f>
        <v/>
      </c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8" t="str">
        <f aca="false">IF(E13="","",E13-D13)</f>
        <v/>
      </c>
      <c r="H13" s="9" t="str">
        <f aca="false">IF(OR(E13="",D13=0),"",(E13-D13)/D13)</f>
        <v/>
      </c>
      <c r="I13" s="11"/>
      <c r="J13" s="11"/>
    </row>
    <row r="14" customFormat="false" ht="15" hidden="false" customHeight="true" outlineLevel="0" collapsed="false">
      <c r="G14" s="5" t="str">
        <f aca="false">IF(E14="","",E14-D14)</f>
        <v/>
      </c>
      <c r="H14" s="10" t="str">
        <f aca="false">IF(OR(E14="",D14=0),"",(E14-D14)/D14)</f>
        <v/>
      </c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8" t="str">
        <f aca="false">IF(E15="","",E15-D15)</f>
        <v/>
      </c>
      <c r="H15" s="9" t="str">
        <f aca="false">IF(OR(E15="",D15=0),"",(E15-D15)/D15)</f>
        <v/>
      </c>
      <c r="I15" s="11"/>
      <c r="J15" s="11"/>
    </row>
    <row r="17" customFormat="false" ht="15" hidden="false" customHeight="true" outlineLevel="0" collapsed="false">
      <c r="A17" s="12"/>
      <c r="B17" s="13" t="s">
        <v>24</v>
      </c>
      <c r="C17" s="14"/>
      <c r="D17" s="14"/>
      <c r="E17" s="14"/>
      <c r="F17" s="14"/>
      <c r="G17" s="12" t="n">
        <f aca="false">SUMIF(I5:I15,"Cerrada",G5:G15)</f>
        <v>0</v>
      </c>
      <c r="H17" s="14"/>
      <c r="I17" s="14"/>
      <c r="J17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2026-07-15T17:38:17Z</dcterms:created>
  <dc:creator>openpyxl</dc:creator>
  <dc:description/>
  <dc:language>en-US</dc:language>
  <cp:lastModifiedBy/>
  <dcterms:modified xsi:type="dcterms:W3CDTF">2026-07-23T09:19:28Z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