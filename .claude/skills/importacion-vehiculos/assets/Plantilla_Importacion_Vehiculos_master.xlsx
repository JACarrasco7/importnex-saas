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Instrucciones" sheetId="1" state="visible" r:id="rId1"/>
    <sheet xmlns:r="http://schemas.openxmlformats.org/officeDocument/2006/relationships" name="Vehiculo y resumen" sheetId="2" state="visible" r:id="rId2"/>
    <sheet xmlns:r="http://schemas.openxmlformats.org/officeDocument/2006/relationships" name="Numeros" sheetId="3" state="visible" r:id="rId3"/>
    <sheet xmlns:r="http://schemas.openxmlformats.org/officeDocument/2006/relationships" name="Checklist inspeccion" sheetId="4" state="visible" r:id="rId4"/>
    <sheet xmlns:r="http://schemas.openxmlformats.org/officeDocument/2006/relationships" name="Checklist documentacion" sheetId="5" state="visible" r:id="rId5"/>
    <sheet xmlns:r="http://schemas.openxmlformats.org/officeDocument/2006/relationships" name="Cronograma logistico" sheetId="6" state="visible" r:id="rId6"/>
    <sheet xmlns:r="http://schemas.openxmlformats.org/officeDocument/2006/relationships" name="Contactos clave" sheetId="7" state="visible" r:id="rId7"/>
    <sheet xmlns:r="http://schemas.openxmlformats.org/officeDocument/2006/relationships" name="Plantillas de mensaje" sheetId="8" state="visible" r:id="rId8"/>
    <sheet xmlns:r="http://schemas.openxmlformats.org/officeDocument/2006/relationships" name="Anuncio de venta"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0B1F3A"/>
      <sz val="14"/>
    </font>
    <font>
      <name val="Arial"/>
      <charset val="1"/>
      <family val="0"/>
      <i val="1"/>
      <color rgb="FF5A6472"/>
      <sz val="10"/>
    </font>
    <font>
      <name val="Arial"/>
      <charset val="1"/>
      <family val="0"/>
      <b val="1"/>
      <color rgb="FFE8590C"/>
      <sz val="11"/>
    </font>
    <font>
      <name val="Arial"/>
      <charset val="1"/>
      <family val="0"/>
      <color rgb="FF22262B"/>
      <sz val="10"/>
    </font>
    <font>
      <name val="Arial"/>
      <charset val="1"/>
      <family val="0"/>
      <color rgb="FF0000FF"/>
      <sz val="10"/>
    </font>
    <font>
      <name val="Arial"/>
      <charset val="1"/>
      <family val="0"/>
      <color rgb="FF008000"/>
      <sz val="10"/>
    </font>
    <font>
      <name val="Arial"/>
      <charset val="1"/>
      <family val="0"/>
      <b val="1"/>
      <color rgb="FFFFFFFF"/>
      <sz val="11"/>
    </font>
    <font>
      <name val="Arial"/>
      <charset val="1"/>
      <family val="0"/>
      <b val="1"/>
      <color rgb="FFFFFFFF"/>
      <sz val="10"/>
    </font>
    <font>
      <name val="Arial"/>
      <charset val="1"/>
      <family val="0"/>
      <i val="1"/>
      <color rgb="FF5A6472"/>
      <sz val="9"/>
    </font>
    <font>
      <name val="Arial"/>
      <charset val="1"/>
      <family val="0"/>
      <color rgb="FF5A6472"/>
      <sz val="9"/>
    </font>
    <font>
      <name val="Arial"/>
      <charset val="1"/>
      <family val="0"/>
      <b val="1"/>
      <color rgb="FF22262B"/>
      <sz val="10"/>
    </font>
    <font>
      <name val="Arial"/>
      <charset val="1"/>
      <family val="0"/>
      <b val="1"/>
      <color rgb="FF0B1F3A"/>
      <sz val="10"/>
    </font>
    <font>
      <name val="Arial"/>
      <charset val="1"/>
      <family val="0"/>
      <color rgb="FF22262B"/>
      <sz val="9"/>
    </font>
    <font>
      <name val="Calibri"/>
      <family val="2"/>
      <b val="1"/>
      <color rgb="FF000000"/>
      <sz val="18"/>
    </font>
    <font>
      <name val="Calibri"/>
      <family val="2"/>
      <color rgb="FF000000"/>
      <sz val="10"/>
    </font>
    <font>
      <name val="Calibri"/>
      <family val="2"/>
      <b val="1"/>
      <color rgb="FF000000"/>
      <sz val="10"/>
    </font>
    <font>
      <name val="Arial"/>
      <charset val="1"/>
      <family val="0"/>
      <b val="1"/>
      <color rgb="FFB3261E"/>
      <sz val="10"/>
    </font>
  </fonts>
  <fills count="8">
    <fill>
      <patternFill/>
    </fill>
    <fill>
      <patternFill patternType="gray125"/>
    </fill>
    <fill>
      <patternFill patternType="solid">
        <fgColor rgb="FFFFF2AC"/>
        <bgColor rgb="FFF4F6F8"/>
      </patternFill>
    </fill>
    <fill>
      <patternFill patternType="solid">
        <fgColor rgb="FFE8590C"/>
        <bgColor rgb="FFC0504D"/>
      </patternFill>
    </fill>
    <fill>
      <patternFill patternType="solid">
        <fgColor rgb="FF1C3A5E"/>
        <bgColor rgb="FF22262B"/>
      </patternFill>
    </fill>
    <fill>
      <patternFill patternType="solid">
        <fgColor rgb="FFF4F6F8"/>
        <bgColor rgb="FFFFFFFF"/>
      </patternFill>
    </fill>
    <fill>
      <patternFill patternType="solid">
        <fgColor rgb="FF0B1F3A"/>
        <bgColor rgb="FF22262B"/>
      </patternFill>
    </fill>
    <fill>
      <patternFill patternType="solid">
        <fgColor rgb="FF4A5568"/>
        <bgColor rgb="FF5A6472"/>
      </patternFill>
    </fill>
  </fills>
  <borders count="2">
    <border>
      <left/>
      <right/>
      <top/>
      <bottom/>
      <diagonal/>
    </border>
    <border>
      <left style="thin">
        <color rgb="FFC7CDD4"/>
      </left>
      <right style="thin">
        <color rgb="FFC7CDD4"/>
      </right>
      <top style="thin">
        <color rgb="FFC7CDD4"/>
      </top>
      <bottom style="thin">
        <color rgb="FFC7CDD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7" fillId="2" borderId="0" applyAlignment="1" pivotButton="0" quotePrefix="0" xfId="0">
      <alignment horizontal="general" vertical="bottom"/>
    </xf>
    <xf numFmtId="0" fontId="10" fillId="3" borderId="0" applyAlignment="1" pivotButton="0" quotePrefix="0" xfId="0">
      <alignment horizontal="general" vertical="center" indent="1"/>
    </xf>
    <xf numFmtId="0" fontId="11" fillId="4" borderId="0" applyAlignment="1" pivotButton="0" quotePrefix="0" xfId="0">
      <alignment horizontal="general" vertical="center" wrapText="1"/>
    </xf>
    <xf numFmtId="0" fontId="12" fillId="0" borderId="0" applyAlignment="1" pivotButton="0" quotePrefix="0" xfId="0">
      <alignment horizontal="general" vertical="bottom"/>
    </xf>
    <xf numFmtId="0" fontId="7" fillId="5" borderId="0" applyAlignment="1" pivotButton="0" quotePrefix="0" xfId="0">
      <alignment horizontal="general" vertical="bottom"/>
    </xf>
    <xf numFmtId="0" fontId="8" fillId="5" borderId="0" applyAlignment="1" pivotButton="0" quotePrefix="0" xfId="0">
      <alignment horizontal="general" vertical="bottom"/>
    </xf>
    <xf numFmtId="0" fontId="0" fillId="5" borderId="0" applyAlignment="1" pivotButton="0" quotePrefix="0" xfId="0">
      <alignment horizontal="general" vertical="bottom"/>
    </xf>
    <xf numFmtId="0" fontId="12" fillId="5" borderId="0" applyAlignment="1" pivotButton="0" quotePrefix="0" xfId="0">
      <alignment horizontal="general" vertical="bottom"/>
    </xf>
    <xf numFmtId="0" fontId="8" fillId="2" borderId="0" applyAlignment="1" pivotButton="0" quotePrefix="0" xfId="0">
      <alignment horizontal="general" vertical="bottom"/>
    </xf>
    <xf numFmtId="0" fontId="13" fillId="5" borderId="1" applyAlignment="1" pivotButton="0" quotePrefix="0" xfId="0">
      <alignment horizontal="general" vertical="bottom"/>
    </xf>
    <xf numFmtId="0" fontId="4" fillId="5" borderId="1" applyAlignment="1" pivotButton="0" quotePrefix="0" xfId="0">
      <alignment horizontal="left" vertical="bottom"/>
    </xf>
    <xf numFmtId="164" fontId="4" fillId="5" borderId="1" applyAlignment="1" pivotButton="0" quotePrefix="0" xfId="0">
      <alignment horizontal="left" vertical="bottom"/>
    </xf>
    <xf numFmtId="0" fontId="14" fillId="5" borderId="0" applyAlignment="1" pivotButton="0" quotePrefix="0" xfId="0">
      <alignment horizontal="general" vertical="bottom"/>
    </xf>
    <xf numFmtId="0" fontId="9" fillId="2" borderId="0" applyAlignment="1" pivotButton="0" quotePrefix="0" xfId="0">
      <alignment horizontal="general" vertical="bottom"/>
    </xf>
    <xf numFmtId="0" fontId="10" fillId="6" borderId="0" applyAlignment="1" pivotButton="0" quotePrefix="0" xfId="0">
      <alignment horizontal="general" vertical="bottom"/>
    </xf>
    <xf numFmtId="0" fontId="0" fillId="6" borderId="0" applyAlignment="1" pivotButton="0" quotePrefix="0" xfId="0">
      <alignment horizontal="general" vertical="bottom"/>
    </xf>
    <xf numFmtId="164" fontId="7" fillId="5"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3" fillId="0" borderId="0" applyAlignment="1" pivotButton="0" quotePrefix="0" xfId="0">
      <alignment horizontal="general" vertical="bottom"/>
    </xf>
    <xf numFmtId="0" fontId="16" fillId="0" borderId="0" applyAlignment="1" pivotButton="0" quotePrefix="0" xfId="0">
      <alignment horizontal="general" vertical="bottom"/>
    </xf>
    <xf numFmtId="0" fontId="0" fillId="3" borderId="0" applyAlignment="1" pivotButton="0" quotePrefix="0" xfId="0">
      <alignment horizontal="general" vertical="bottom"/>
    </xf>
    <xf numFmtId="0" fontId="10" fillId="3" borderId="0" applyAlignment="1" pivotButton="0" quotePrefix="0" xfId="0">
      <alignment horizontal="general" vertical="bottom"/>
    </xf>
    <xf numFmtId="0" fontId="20" fillId="0" borderId="0" applyAlignment="1" pivotButton="0" quotePrefix="0" xfId="0">
      <alignment horizontal="general" vertical="bottom"/>
    </xf>
    <xf numFmtId="0" fontId="20" fillId="5" borderId="0" applyAlignment="1" pivotButton="0" quotePrefix="0" xfId="0">
      <alignment horizontal="general" vertical="bottom"/>
    </xf>
    <xf numFmtId="0" fontId="12" fillId="0" borderId="0" applyAlignment="1" pivotButton="0" quotePrefix="0" xfId="0">
      <alignment horizontal="general" vertical="bottom"/>
    </xf>
    <xf numFmtId="0" fontId="11" fillId="7" borderId="0" applyAlignment="1" pivotButton="0" quotePrefix="0" xfId="0">
      <alignment horizontal="general" vertical="bottom"/>
    </xf>
    <xf numFmtId="0" fontId="0" fillId="7" borderId="0" applyAlignment="1" pivotButton="0" quotePrefix="0" xfId="0">
      <alignment horizontal="general" vertical="bottom"/>
    </xf>
    <xf numFmtId="0" fontId="7" fillId="0" borderId="0" applyAlignment="1" pivotButton="0" quotePrefix="0" xfId="0">
      <alignment horizontal="general" vertical="top" wrapText="1"/>
    </xf>
    <xf numFmtId="0" fontId="7" fillId="5" borderId="0" applyAlignment="1" pivotButton="0" quotePrefix="0" xfId="0">
      <alignment horizontal="general" vertical="top" wrapText="1"/>
    </xf>
    <xf numFmtId="0" fontId="8" fillId="2" borderId="0" applyAlignment="1" pivotButton="0" quotePrefix="0" xfId="0">
      <alignment horizontal="general" vertical="top" wrapText="1"/>
    </xf>
    <xf numFmtId="0" fontId="9" fillId="5" borderId="0" applyAlignment="1" pivotButton="0" quotePrefix="0" xfId="0">
      <alignment horizontal="general" vertical="bottom"/>
    </xf>
    <xf numFmtId="0" fontId="7" fillId="0" borderId="0" applyAlignment="1" pivotButton="0" quotePrefix="0" xfId="0">
      <alignment horizontal="general" vertical="bottom"/>
    </xf>
    <xf numFmtId="0" fontId="7" fillId="5"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7" fillId="2" borderId="0" applyAlignment="1" pivotButton="0" quotePrefix="0" xfId="0">
      <alignment horizontal="general" vertical="bottom"/>
    </xf>
    <xf numFmtId="0" fontId="10" fillId="3" borderId="0" applyAlignment="1" pivotButton="0" quotePrefix="0" xfId="0">
      <alignment horizontal="general" vertical="center" indent="1"/>
    </xf>
    <xf numFmtId="0" fontId="11" fillId="4" borderId="0" applyAlignment="1" pivotButton="0" quotePrefix="0" xfId="0">
      <alignment horizontal="general" vertical="center" wrapText="1"/>
    </xf>
    <xf numFmtId="0" fontId="12" fillId="0" borderId="0" applyAlignment="1" pivotButton="0" quotePrefix="0" xfId="0">
      <alignment horizontal="general" vertical="bottom"/>
    </xf>
    <xf numFmtId="0" fontId="7" fillId="5" borderId="0" applyAlignment="1" pivotButton="0" quotePrefix="0" xfId="0">
      <alignment horizontal="general" vertical="bottom"/>
    </xf>
    <xf numFmtId="0" fontId="8" fillId="5" borderId="0" applyAlignment="1" pivotButton="0" quotePrefix="0" xfId="0">
      <alignment horizontal="general" vertical="bottom"/>
    </xf>
    <xf numFmtId="0" fontId="0" fillId="5" borderId="0" applyAlignment="1" pivotButton="0" quotePrefix="0" xfId="0">
      <alignment horizontal="general" vertical="bottom"/>
    </xf>
    <xf numFmtId="0" fontId="12" fillId="5" borderId="0" applyAlignment="1" pivotButton="0" quotePrefix="0" xfId="0">
      <alignment horizontal="general" vertical="bottom"/>
    </xf>
    <xf numFmtId="0" fontId="8" fillId="2" borderId="0" applyAlignment="1" pivotButton="0" quotePrefix="0" xfId="0">
      <alignment horizontal="general" vertical="bottom"/>
    </xf>
    <xf numFmtId="0" fontId="13" fillId="5" borderId="1" applyAlignment="1" pivotButton="0" quotePrefix="0" xfId="0">
      <alignment horizontal="general" vertical="bottom"/>
    </xf>
    <xf numFmtId="0" fontId="4" fillId="5" borderId="1" applyAlignment="1" pivotButton="0" quotePrefix="0" xfId="0">
      <alignment horizontal="left" vertical="bottom"/>
    </xf>
    <xf numFmtId="164" fontId="4" fillId="5" borderId="1" applyAlignment="1" pivotButton="0" quotePrefix="0" xfId="0">
      <alignment horizontal="left" vertical="bottom"/>
    </xf>
    <xf numFmtId="0" fontId="14" fillId="5" borderId="0" applyAlignment="1" pivotButton="0" quotePrefix="0" xfId="0">
      <alignment horizontal="general" vertical="bottom"/>
    </xf>
    <xf numFmtId="0" fontId="9" fillId="2" borderId="0" applyAlignment="1" pivotButton="0" quotePrefix="0" xfId="0">
      <alignment horizontal="general" vertical="bottom"/>
    </xf>
    <xf numFmtId="0" fontId="10" fillId="6" borderId="0" applyAlignment="1" pivotButton="0" quotePrefix="0" xfId="0">
      <alignment horizontal="general" vertical="bottom"/>
    </xf>
    <xf numFmtId="0" fontId="0" fillId="6" borderId="0" applyAlignment="1" pivotButton="0" quotePrefix="0" xfId="0">
      <alignment horizontal="general" vertical="bottom"/>
    </xf>
    <xf numFmtId="164" fontId="7" fillId="5"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3" fillId="0" borderId="0" applyAlignment="1" pivotButton="0" quotePrefix="0" xfId="0">
      <alignment horizontal="general" vertical="bottom"/>
    </xf>
    <xf numFmtId="0" fontId="16" fillId="0" borderId="0" applyAlignment="1" pivotButton="0" quotePrefix="0" xfId="0">
      <alignment horizontal="general" vertical="bottom"/>
    </xf>
    <xf numFmtId="0" fontId="0" fillId="3" borderId="0" applyAlignment="1" pivotButton="0" quotePrefix="0" xfId="0">
      <alignment horizontal="general" vertical="bottom"/>
    </xf>
    <xf numFmtId="0" fontId="10" fillId="3" borderId="0" applyAlignment="1" pivotButton="0" quotePrefix="0" xfId="0">
      <alignment horizontal="general" vertical="bottom"/>
    </xf>
    <xf numFmtId="0" fontId="20" fillId="0" borderId="0" applyAlignment="1" pivotButton="0" quotePrefix="0" xfId="0">
      <alignment horizontal="general" vertical="bottom"/>
    </xf>
    <xf numFmtId="0" fontId="20" fillId="5" borderId="0" applyAlignment="1" pivotButton="0" quotePrefix="0" xfId="0">
      <alignment horizontal="general" vertical="bottom"/>
    </xf>
    <xf numFmtId="0" fontId="11" fillId="7" borderId="0" applyAlignment="1" pivotButton="0" quotePrefix="0" xfId="0">
      <alignment horizontal="general" vertical="bottom"/>
    </xf>
    <xf numFmtId="0" fontId="0" fillId="7" borderId="0" applyAlignment="1" pivotButton="0" quotePrefix="0" xfId="0">
      <alignment horizontal="general" vertical="bottom"/>
    </xf>
    <xf numFmtId="0" fontId="7" fillId="0" borderId="0" applyAlignment="1" pivotButton="0" quotePrefix="0" xfId="0">
      <alignment horizontal="general" vertical="top" wrapText="1"/>
    </xf>
    <xf numFmtId="0" fontId="7" fillId="5" borderId="0" applyAlignment="1" pivotButton="0" quotePrefix="0" xfId="0">
      <alignment horizontal="general" vertical="top" wrapText="1"/>
    </xf>
    <xf numFmtId="0" fontId="8" fillId="2" borderId="0" applyAlignment="1" pivotButton="0" quotePrefix="0" xfId="0">
      <alignment horizontal="general" vertical="top" wrapText="1"/>
    </xf>
    <xf numFmtId="0" fontId="9" fillId="5"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B3261E"/>
        <sz val="10"/>
      </font>
      <fill>
        <patternFill>
          <bgColor rgb="FFF8C9C4"/>
        </patternFill>
      </fill>
    </dxf>
    <dxf>
      <font>
        <name val="Arial"/>
        <charset val="1"/>
        <family val="0"/>
        <b val="1"/>
        <color rgb="FF1E7B34"/>
        <sz val="10"/>
      </font>
      <fill>
        <patternFill>
          <bgColor rgb="FFC6EFCE"/>
        </patternFill>
      </fill>
    </dxf>
    <dxf>
      <fill>
        <patternFill>
          <bgColor rgb="FFE4E7EB"/>
        </patternFill>
      </fill>
    </dxf>
    <dxf>
      <fill>
        <patternFill>
          <bgColor rgb="FFFFF2AC"/>
        </patternFill>
      </fill>
    </dxf>
    <dxf>
      <fill>
        <patternFill>
          <bgColor rgb="FFF8C9C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7B34"/>
      <rgbColor rgb="FFC7CDD4"/>
      <rgbColor rgb="FF4F81BD"/>
      <rgbColor rgb="FF9999FF"/>
      <rgbColor rgb="FFC0504D"/>
      <rgbColor rgb="FFF4F6F8"/>
      <rgbColor rgb="FFE4E7E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2AC"/>
      <rgbColor rgb="FF99CCFF"/>
      <rgbColor rgb="FFFF99CC"/>
      <rgbColor rgb="FFCC99FF"/>
      <rgbColor rgb="FFF8C9C4"/>
      <rgbColor rgb="FF3366FF"/>
      <rgbColor rgb="FF33CCCC"/>
      <rgbColor rgb="FF9BBB59"/>
      <rgbColor rgb="FFFFCC00"/>
      <rgbColor rgb="FFFF9900"/>
      <rgbColor rgb="FFE8590C"/>
      <rgbColor rgb="FF5A6472"/>
      <rgbColor rgb="FFB3B3B3"/>
      <rgbColor rgb="FF1C3A5E"/>
      <rgbColor rgb="FF2E7D32"/>
      <rgbColor rgb="FF0B1F3A"/>
      <rgbColor rgb="FF333300"/>
      <rgbColor rgb="FFB3261E"/>
      <rgbColor rgb="FF6A4C93"/>
      <rgbColor rgb="FF4A5568"/>
      <rgbColor rgb="FF22262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Coste vs venta vs mercado (EUR)</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showLeaderLines val="1"/>
          </dLbls>
          <cat>
            <strRef>
              <f>Numeros!$A$57:$A$59</f>
              <strCache>
                <ptCount val="3"/>
                <pt idx="0">
                  <v>Coste total (minimo)</v>
                </pt>
                <pt idx="1">
                  <v>Precio de venta estimado</v>
                </pt>
                <pt idx="2">
                  <v>Precio medio de comparables</v>
                </pt>
              </strCache>
            </strRef>
          </cat>
          <val>
            <numRef>
              <f>Numeros!$B$57:$B$59</f>
              <numCache>
                <formatCode>General</formatCode>
                <ptCount val="3"/>
                <pt idx="0">
                  <v>13785</v>
                </pt>
                <pt idx="1">
                  <v>1500</v>
                </pt>
                <pt idx="2">
                  <v>17993.3333333333</v>
                </pt>
              </numCache>
            </numRef>
          </val>
        </ser>
        <gapWidth val="150"/>
        <overlap val="0"/>
        <axId val="87234977"/>
        <axId val="33747369"/>
      </barChart>
      <catAx>
        <axId val="87234977"/>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33747369"/>
        <crosses val="autoZero"/>
        <auto val="1"/>
        <lblAlgn val="ctr"/>
        <lblOffset val="100"/>
        <noMultiLvlLbl val="0"/>
      </catAx>
      <valAx>
        <axId val="3374736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EUR</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8723497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Estado de la inspeccion</a:t>
            </a:r>
          </a:p>
        </rich>
      </tx>
      <overlay val="0"/>
      <spPr>
        <a:noFill xmlns:a="http://schemas.openxmlformats.org/drawingml/2006/main"/>
        <a:ln xmlns:a="http://schemas.openxmlformats.org/drawingml/2006/main" w="0">
          <a:noFill/>
          <a:prstDash val="solid"/>
        </a:ln>
      </spPr>
    </title>
    <plotArea>
      <pieChart>
        <varyColors val="1"/>
        <ser>
          <idx val="0"/>
          <order val="0"/>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12600">
                <a:noFill/>
                <a:prstDash val="solid"/>
              </a:ln>
            </spPr>
          </dPt>
          <dPt>
            <idx val="1"/>
            <spPr>
              <a:solidFill xmlns:a="http://schemas.openxmlformats.org/drawingml/2006/main">
                <a:srgbClr val="C0504D"/>
              </a:solidFill>
              <a:ln xmlns:a="http://schemas.openxmlformats.org/drawingml/2006/main" w="12600">
                <a:noFill/>
                <a:prstDash val="solid"/>
              </a:ln>
            </spPr>
          </dPt>
          <dPt>
            <idx val="2"/>
            <spPr>
              <a:solidFill xmlns:a="http://schemas.openxmlformats.org/drawingml/2006/main">
                <a:srgbClr val="9BBB59"/>
              </a:solidFill>
              <a:ln xmlns:a="http://schemas.openxmlformats.org/drawingml/2006/main" w="1260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
                  </a:r>
                </a:p>
              </txPr>
              <dLblPos val="bestFit"/>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
                  </a:r>
                </a:p>
              </txPr>
              <dLblPos val="bestFit"/>
              <showLegendKey val="1"/>
              <showVal val="1"/>
              <showCatName val="1"/>
              <showSerName val="1"/>
              <showPercent val="1"/>
            </dLbl>
            <dLbl>
              <idx val="2"/>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
                  </a:r>
                </a:p>
              </txPr>
              <dLblPos val="bestFit"/>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
                </a:r>
              </a:p>
            </txPr>
            <dLblPos val="bestFit"/>
            <showLegendKey val="1"/>
            <showVal val="1"/>
            <showCatName val="1"/>
            <showSerName val="1"/>
            <showPercent val="1"/>
            <showLeaderLines val="1"/>
          </dLbls>
          <cat>
            <strRef>
              <f>'Checklist inspeccion'!$B$89:$B$91</f>
              <strCache>
                <ptCount val="3"/>
                <pt idx="0">
                  <v>Puntos OK</v>
                </pt>
                <pt idx="1">
                  <v>Puntos a revisar</v>
                </pt>
                <pt idx="2">
                  <v>Puntos pendientes</v>
                </pt>
              </strCache>
            </strRef>
          </cat>
          <val>
            <numRef>
              <f>'Checklist inspeccion'!$C$89:$C$91</f>
              <numCache>
                <formatCode>General</formatCode>
                <ptCount val="3"/>
                <pt idx="0">
                  <v>0</v>
                </pt>
                <pt idx="1">
                  <v>0</v>
                </pt>
                <pt idx="2">
                  <v>0</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editAs="oneCell">
    <from>
      <col>8</col>
      <colOff>0</colOff>
      <row>5</row>
      <rowOff>0</rowOff>
    </from>
    <to>
      <col>13</col>
      <colOff>478080</colOff>
      <row>20</row>
      <rowOff>20880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editAs="oneCell">
    <from>
      <col>5</col>
      <colOff>0</colOff>
      <row>3</row>
      <rowOff>0</rowOff>
    </from>
    <to>
      <col>10</col>
      <colOff>541080</colOff>
      <row>16</row>
      <rowOff>42120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0">
    <tabColor rgb="FF5A6472"/>
    <outlinePr summaryBelow="1" summaryRight="1"/>
    <pageSetUpPr fitToPage="0"/>
  </sheetPr>
  <dimension ref="B2:B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0" customWidth="1" style="42" min="2" max="2"/>
  </cols>
  <sheetData>
    <row r="2" ht="17.25" customHeight="1" s="43">
      <c r="B2" s="44" t="inlineStr">
        <is>
          <t>Plantilla de Importacion de Vehiculos UE -&gt; Espania</t>
        </is>
      </c>
    </row>
    <row r="3" ht="15" customHeight="1" s="43">
      <c r="B3" s="45" t="inlineStr">
        <is>
          <t>Herramienta reutilizable para calcular coste real, margen y checklist de cualquier importacion futura.</t>
        </is>
      </c>
    </row>
    <row r="5" ht="15" customHeight="1" s="43">
      <c r="B5" s="46" t="inlineStr">
        <is>
          <t>Como usar esta plantilla</t>
        </is>
      </c>
    </row>
    <row r="6" ht="15" customHeight="1" s="43">
      <c r="B6" s="47" t="inlineStr">
        <is>
          <t>1. Rellena 'Vehiculo y resumen' con la info del anuncio (celdas azules) y con los hallazgos de la investigacion del modelo (relleno amarillo: fiabilidad, recalls, precio de mercado real). El Resumen ejecutivo se calcula solo.</t>
        </is>
      </c>
    </row>
    <row r="7" ht="15" customHeight="1" s="43">
      <c r="B7" s="47" t="inlineStr">
        <is>
          <t>2. La pestania 'Numeros' calcula el coste total puesto en Espania, el margen de reventa y guarda los comparables de mercado - todo en una sola hoja.</t>
        </is>
      </c>
    </row>
    <row r="8" ht="15" customHeight="1" s="43">
      <c r="B8" s="47" t="inlineStr">
        <is>
          <t>3. Usa 'Checklist inspeccion' durante la visita al vehiculo (incluye prioridad Critico/Importante/Menor), y 'Checklist documentacion' antes de firmar y tras la llegada (incluye los plazos legales de matriculacion).</t>
        </is>
      </c>
    </row>
    <row r="9" ht="15" customHeight="1" s="43">
      <c r="B9" s="47" t="inlineStr">
        <is>
          <t>4. 'Cronograma logistico' es tu plantilla de viaje completa: ida, protocolo financiero, dia del cierre, plan de contingencia, registro de riesgos y vuelta.</t>
        </is>
      </c>
    </row>
    <row r="10" ht="15" customHeight="1" s="43">
      <c r="B10" s="47" t="inlineStr">
        <is>
          <t>5. 'Contactos clave' es ficha de apoyo rapido, reutilizable en cualquier operacion.</t>
        </is>
      </c>
    </row>
    <row r="11" ht="15" customHeight="1" s="43">
      <c r="B11" s="47" t="inlineStr">
        <is>
          <t>6. 'Plantillas de mensaje' cubre todo el ciclo (contacto, negociacion, cierre, seguimiento, reventa) en espaniol, ingles y aleman, en tono profesional (email) y distendido (WhatsApp). Copia la fila que necesites y sustituye los campos [ENTRE CORCHETES].</t>
        </is>
      </c>
    </row>
    <row r="12" ht="15" customHeight="1" s="43">
      <c r="B12" s="47" t="inlineStr">
        <is>
          <t>7. El registro historico de rentabilidad entre operaciones vive en un archivo aparte (Registro_Operaciones_Importacion.xlsx), no en esta plantilla.</t>
        </is>
      </c>
    </row>
    <row r="14" ht="15" customHeight="1" s="43">
      <c r="B14" s="46" t="inlineStr">
        <is>
          <t>Codigo de colores</t>
        </is>
      </c>
    </row>
    <row r="15" ht="15" customHeight="1" s="43">
      <c r="B15" s="48" t="inlineStr">
        <is>
          <t>Texto AZUL = celda de entrada (rellena tu los datos)</t>
        </is>
      </c>
    </row>
    <row r="16" ht="15" customHeight="1" s="43">
      <c r="B16" s="47" t="inlineStr">
        <is>
          <t>Texto NEGRO = formula (no tocar, se recalcula sola)</t>
        </is>
      </c>
    </row>
    <row r="17" ht="15" customHeight="1" s="43">
      <c r="B17" s="49" t="inlineStr">
        <is>
          <t>Texto VERDE = enlace a otra pestania</t>
        </is>
      </c>
    </row>
    <row r="18" ht="15" customHeight="1" s="43">
      <c r="B18" s="50" t="inlineStr">
        <is>
          <t>Relleno AMARILLO = supuesto clave o hallazgo de investigacion a revisar/confirmar caso por caso</t>
        </is>
      </c>
    </row>
    <row r="20" ht="15" customHeight="1" s="43">
      <c r="B20" s="46" t="inlineStr">
        <is>
          <t>Notas importantes</t>
        </is>
      </c>
    </row>
    <row r="21" ht="15" customHeight="1" s="43">
      <c r="B21" s="47" t="inlineStr">
        <is>
          <t>- El IEDMT (impuesto de matriculacion) depende del CO2 homologado real del COC del vehiculo. La plantilla usa el tramo oficial vigente, pero confirma siempre con el documento real antes de comprometerte.</t>
        </is>
      </c>
    </row>
    <row r="22" ht="15" customHeight="1" s="43">
      <c r="B22" s="47" t="inlineStr">
        <is>
          <t>- La compra a un profesional/concesionario de la UE normalmente NO lleva ITP adicional en Espania si el vehiculo es 'usado' a efectos de IVA intracomunitario (&gt;6 meses matriculado o &gt;6.000 km). Compra a un particular puede tener otro tratamiento fiscal - consulta con gestoria.</t>
        </is>
      </c>
    </row>
    <row r="23" ht="15" customHeight="1" s="43">
      <c r="B23" s="47" t="inlineStr">
        <is>
          <t>- Todas las cifras de coste de logistica, gestoria y tasas son estimaciones orientativas; varian por ruta, comunidad autonoma y gestor.</t>
        </is>
      </c>
    </row>
    <row r="24" ht="15" customHeight="1" s="43">
      <c r="B24" s="47" t="inlineStr">
        <is>
          <t>- La seccion 'Investigacion del modelo' recoge hallazgos de busqueda web (manual o automatizada); son orientativos y deben contrastarse con la unidad real durante la inspeccion.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B1F3A"/>
    <outlinePr summaryBelow="1" summaryRight="1"/>
    <pageSetUpPr fitToPage="0"/>
  </sheetPr>
  <dimension ref="A1:C58"/>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42" min="1" max="2"/>
    <col width="42" customWidth="1" style="42" min="3" max="3"/>
  </cols>
  <sheetData>
    <row r="1" ht="17.25" customHeight="1" s="43">
      <c r="A1" s="44" t="inlineStr">
        <is>
          <t>Vehiculo y resumen</t>
        </is>
      </c>
    </row>
    <row r="2" ht="15" customHeight="1" s="43">
      <c r="A2" s="45" t="inlineStr">
        <is>
          <t>Rellena los datos del anuncio (celdas azules). El bloque de investigacion se rellena con la busqueda del skill. El resumen de abajo se actualiza solo.</t>
        </is>
      </c>
    </row>
    <row r="4" ht="15" customHeight="1" s="43">
      <c r="A4" s="51" t="inlineStr">
        <is>
          <t>DATOS DEL VEHICULO (del anuncio)</t>
        </is>
      </c>
    </row>
    <row r="5" ht="15" customHeight="1" s="43">
      <c r="A5" s="52" t="inlineStr">
        <is>
          <t>Campo</t>
        </is>
      </c>
      <c r="B5" s="52" t="inlineStr">
        <is>
          <t>Valor</t>
        </is>
      </c>
      <c r="C5" s="52" t="inlineStr">
        <is>
          <t>Notas / fuente</t>
        </is>
      </c>
    </row>
    <row r="6" ht="15" customHeight="1" s="43">
      <c r="A6" s="47" t="inlineStr">
        <is>
          <t>Marca y modelo</t>
        </is>
      </c>
      <c r="B6" s="48" t="inlineStr">
        <is>
          <t>Volkswagen Golf VII Lim. R-Line</t>
        </is>
      </c>
      <c r="C6" s="53" t="inlineStr">
        <is>
          <t>Rellenar segun anuncio</t>
        </is>
      </c>
    </row>
    <row r="7" ht="15" customHeight="1" s="43">
      <c r="A7" s="54" t="inlineStr">
        <is>
          <t>Motorizacion</t>
        </is>
      </c>
      <c r="B7" s="55" t="inlineStr">
        <is>
          <t>1.0 TSI DSG (85 kW / 116 CV)</t>
        </is>
      </c>
      <c r="C7" s="56" t="n"/>
    </row>
    <row r="8" ht="15" customHeight="1" s="43">
      <c r="A8" s="47" t="inlineStr">
        <is>
          <t>Combustible</t>
        </is>
      </c>
      <c r="B8" s="48" t="inlineStr">
        <is>
          <t>Gasolina</t>
        </is>
      </c>
    </row>
    <row r="9" ht="15" customHeight="1" s="43">
      <c r="A9" s="54" t="inlineStr">
        <is>
          <t>Cambio</t>
        </is>
      </c>
      <c r="B9" s="55" t="inlineStr">
        <is>
          <t>Automatico (DSG)</t>
        </is>
      </c>
      <c r="C9" s="56" t="n"/>
    </row>
    <row r="10" ht="15" customHeight="1" s="43">
      <c r="A10" s="47" t="inlineStr">
        <is>
          <t>Traccion</t>
        </is>
      </c>
      <c r="B10" s="48" t="inlineStr">
        <is>
          <t>Delantera</t>
        </is>
      </c>
    </row>
    <row r="11" ht="15" customHeight="1" s="43">
      <c r="A11" s="54" t="inlineStr">
        <is>
          <t>Puertas / plazas</t>
        </is>
      </c>
      <c r="B11" s="55" t="inlineStr">
        <is>
          <t>5 puertas / 5 plazas</t>
        </is>
      </c>
      <c r="C11" s="56" t="n"/>
    </row>
    <row r="12" ht="15" customHeight="1" s="43">
      <c r="A12" s="47" t="inlineStr">
        <is>
          <t>Anio / 1a matriculacion</t>
        </is>
      </c>
      <c r="B12" s="48" t="inlineStr">
        <is>
          <t>05/2019</t>
        </is>
      </c>
    </row>
    <row r="13" ht="15" customHeight="1" s="43">
      <c r="A13" s="54" t="inlineStr">
        <is>
          <t>Kilometraje</t>
        </is>
      </c>
      <c r="B13" s="55" t="n">
        <v>137600</v>
      </c>
      <c r="C13" s="57" t="inlineStr">
        <is>
          <t>km</t>
        </is>
      </c>
    </row>
    <row r="14" ht="15" customHeight="1" s="43">
      <c r="A14" s="47" t="inlineStr">
        <is>
          <t>No de propietarios</t>
        </is>
      </c>
      <c r="B14" s="48" t="n">
        <v>2</v>
      </c>
    </row>
    <row r="15" ht="15" customHeight="1" s="43">
      <c r="A15" s="54" t="inlineStr">
        <is>
          <t>Color exterior</t>
        </is>
      </c>
      <c r="B15" s="55" t="n"/>
      <c r="C15" s="56" t="n"/>
    </row>
    <row r="16" ht="15" customHeight="1" s="43">
      <c r="A16" s="47" t="inlineStr">
        <is>
          <t>Color / tapiceria interior</t>
        </is>
      </c>
      <c r="B16" s="48" t="n"/>
    </row>
    <row r="17" ht="15" customHeight="1" s="43">
      <c r="A17" s="54" t="inlineStr">
        <is>
          <t>Equipamiento destacado</t>
        </is>
      </c>
      <c r="B17" s="55" t="inlineStr">
        <is>
          <t>Panorama-Schiebedach electrico, Climatronic 2 zonas, Business-Paket, camara trasera, App-Connect</t>
        </is>
      </c>
      <c r="C17" s="57" t="inlineStr">
        <is>
          <t>Copiar del anuncio</t>
        </is>
      </c>
    </row>
    <row r="18" ht="15" customHeight="1" s="43">
      <c r="A18" s="47" t="inlineStr">
        <is>
          <t>Precio anuncio (con IVA origen)</t>
        </is>
      </c>
      <c r="B18" s="48" t="n">
        <v>12990</v>
      </c>
      <c r="C18" s="53" t="inlineStr">
        <is>
          <t>EUR, precio final del anuncio</t>
        </is>
      </c>
    </row>
    <row r="19" ht="15" customHeight="1" s="43">
      <c r="A19" s="54" t="inlineStr">
        <is>
          <t>CO2 homologado (g/km NEDC)</t>
        </is>
      </c>
      <c r="B19" s="55" t="n">
        <v>109</v>
      </c>
      <c r="C19" s="57" t="inlineStr">
        <is>
          <t>Confirmar con el COC real antes de comprometerse</t>
        </is>
      </c>
    </row>
    <row r="20" ht="15" customHeight="1" s="43">
      <c r="A20" s="47" t="inlineStr">
        <is>
          <t>Garantia ofrecida por el vendedor</t>
        </is>
      </c>
      <c r="B20" s="48" t="n"/>
      <c r="C20" s="53" t="inlineStr">
        <is>
          <t>Meses / cobertura si aplica</t>
        </is>
      </c>
    </row>
    <row r="21" ht="15" customHeight="1" s="43">
      <c r="A21" s="54" t="inlineStr">
        <is>
          <t>Accidentes declarados</t>
        </is>
      </c>
      <c r="B21" s="55" t="inlineStr">
        <is>
          <t>No declara accidentes (a confirmar)</t>
        </is>
      </c>
      <c r="C21" s="57" t="inlineStr">
        <is>
          <t>Segun el anuncio; verificar en inspeccion</t>
        </is>
      </c>
    </row>
    <row r="22" ht="15" customHeight="1" s="43">
      <c r="A22" s="47" t="inlineStr">
        <is>
          <t>Historial de mantenimiento disponible</t>
        </is>
      </c>
      <c r="B22" s="48" t="inlineStr">
        <is>
          <t>Si (parcial)</t>
        </is>
      </c>
      <c r="C22" s="53" t="inlineStr">
        <is>
          <t>Si / No / Parcial</t>
        </is>
      </c>
    </row>
    <row r="23" ht="15" customHeight="1" s="43">
      <c r="A23" s="54" t="inlineStr">
        <is>
          <t>Vendedor: tipo</t>
        </is>
      </c>
      <c r="B23" s="55" t="inlineStr">
        <is>
          <t>Profesional / concesionario</t>
        </is>
      </c>
      <c r="C23" s="57" t="inlineStr">
        <is>
          <t>Profesional / Particular (afecta a fiscalidad)</t>
        </is>
      </c>
    </row>
    <row r="24" ht="15" customHeight="1" s="43">
      <c r="A24" s="47" t="inlineStr">
        <is>
          <t>Vendedor: nombre y ubicacion</t>
        </is>
      </c>
      <c r="B24" s="48" t="inlineStr">
        <is>
          <t>AlpenDrive, Bad Endorf (DE)</t>
        </is>
      </c>
    </row>
    <row r="25" ht="15" customHeight="1" s="43">
      <c r="A25" s="54" t="inlineStr">
        <is>
          <t>URL del anuncio</t>
        </is>
      </c>
      <c r="B25" s="55" t="n"/>
      <c r="C25" s="57" t="inlineStr">
        <is>
          <t>Pegar enlace</t>
        </is>
      </c>
    </row>
    <row r="26" ht="15" customHeight="1" s="43">
      <c r="A26" s="47" t="inlineStr">
        <is>
          <t>Enlace a fotos / galeria adicional</t>
        </is>
      </c>
      <c r="B26" s="48" t="n"/>
    </row>
    <row r="27" ht="15" customHeight="1" s="43">
      <c r="A27" s="54" t="inlineStr">
        <is>
          <t>Persona de contacto</t>
        </is>
      </c>
      <c r="B27" s="55" t="inlineStr">
        <is>
          <t>Martin</t>
        </is>
      </c>
      <c r="C27" s="56" t="n"/>
    </row>
    <row r="28" ht="15" customHeight="1" s="43">
      <c r="A28" s="47" t="inlineStr">
        <is>
          <t>Fecha de la captura del anuncio</t>
        </is>
      </c>
      <c r="B28" s="48" t="inlineStr">
        <is>
          <t>15/07/2026</t>
        </is>
      </c>
      <c r="C28" s="53" t="inlineStr">
        <is>
          <t>Para saber si el anuncio sigue vigente</t>
        </is>
      </c>
    </row>
    <row r="30" ht="15" customHeight="1" s="43">
      <c r="A30" s="51" t="inlineStr">
        <is>
          <t>INVESTIGACION DEL MODELO (busqueda web)</t>
        </is>
      </c>
    </row>
    <row r="31" ht="15" customHeight="1" s="43">
      <c r="A31" s="53" t="inlineStr">
        <is>
          <t>Relleno amarillo = hallazgo de investigacion a confirmar. Rellenado por el proceso de investigacion (manual o skill) antes de dar el visto bueno a la operacion.</t>
        </is>
      </c>
    </row>
    <row r="32" ht="15" customHeight="1" s="43">
      <c r="A32" s="52" t="inlineStr">
        <is>
          <t>Aspecto</t>
        </is>
      </c>
      <c r="B32" s="52" t="inlineStr">
        <is>
          <t>Hallazgo</t>
        </is>
      </c>
      <c r="C32" s="52" t="inlineStr">
        <is>
          <t>Fuente / URL</t>
        </is>
      </c>
    </row>
    <row r="33" ht="15" customHeight="1" s="43">
      <c r="A33" s="47" t="inlineStr">
        <is>
          <t>Problemas / averias comunes conocidos de este motor y modelo</t>
        </is>
      </c>
      <c r="B33" s="58" t="n"/>
      <c r="C33" s="53" t="n"/>
    </row>
    <row r="34" ht="15" customHeight="1" s="43">
      <c r="A34" s="54" t="inlineStr">
        <is>
          <t>Campanias de recall oficiales pendientes para este modelo (y VIN si es identificable)</t>
        </is>
      </c>
      <c r="B34" s="55" t="n"/>
      <c r="C34" s="57" t="n"/>
    </row>
    <row r="35" ht="15" customHeight="1" s="43">
      <c r="A35" s="47" t="inlineStr">
        <is>
          <t>Rango de precio de mercado real encontrado (contrastar con 'Numeros' &gt; Comparables)</t>
        </is>
      </c>
      <c r="B35" s="58" t="n"/>
      <c r="C35" s="53" t="n"/>
    </row>
    <row r="36" ht="15" customHeight="1" s="43">
      <c r="A36" s="54" t="inlineStr">
        <is>
          <t>Fiabilidad general / opinion media de propietarios y prensa especializada</t>
        </is>
      </c>
      <c r="B36" s="55" t="n"/>
      <c r="C36" s="57" t="n"/>
    </row>
    <row r="37" ht="15" customHeight="1" s="43">
      <c r="A37" s="47" t="inlineStr">
        <is>
          <t>Otros datos relevantes de esta unidad concreta (garantia de fabrica restante, campanias previas aplicadas, etc.)</t>
        </is>
      </c>
      <c r="B37" s="58" t="n"/>
      <c r="C37" s="53" t="n"/>
    </row>
    <row r="39" ht="15" customHeight="1" s="43">
      <c r="A39" s="51" t="inlineStr">
        <is>
          <t>RESUMEN EJECUTIVO</t>
        </is>
      </c>
    </row>
    <row r="40" ht="15" customHeight="1" s="43">
      <c r="A40" s="53" t="inlineStr">
        <is>
          <t>Vista rapida de la operacion actual, calculada a partir de 'Numeros' y los checklists.</t>
        </is>
      </c>
    </row>
    <row r="42" ht="15" customHeight="1" s="43">
      <c r="A42" s="51" t="inlineStr">
        <is>
          <t>COSTE, HONORARIOS Y PRECIO AL CLIENTE</t>
        </is>
      </c>
    </row>
    <row r="43" ht="21.75" customHeight="1" s="43">
      <c r="A43" s="59" t="inlineStr">
        <is>
          <t>Coste total puesto en Espania (minimo)</t>
        </is>
      </c>
      <c r="B43" s="60">
        <f>Numeros!B24</f>
        <v/>
      </c>
    </row>
    <row r="44" ht="21.75" customHeight="1" s="43">
      <c r="A44" s="59" t="inlineStr">
        <is>
          <t>Coste total puesto en Espania (maximo)</t>
        </is>
      </c>
      <c r="B44" s="60">
        <f>Numeros!C24</f>
        <v/>
      </c>
    </row>
    <row r="45" ht="21.75" customHeight="1" s="43">
      <c r="A45" s="59" t="inlineStr">
        <is>
          <t>Precio todo incluido al cliente (escenario coste minimo)</t>
        </is>
      </c>
      <c r="B45" s="60">
        <f>Numeros!B34</f>
        <v/>
      </c>
    </row>
    <row r="46" ht="21.75" customHeight="1" s="43">
      <c r="A46" s="59" t="inlineStr">
        <is>
          <t>Precio todo incluido al cliente (escenario coste maximo)</t>
        </is>
      </c>
      <c r="B46" s="60">
        <f>Numeros!B35</f>
        <v/>
      </c>
    </row>
    <row r="47" ht="21.75" customHeight="1" s="43">
      <c r="A47" s="59" t="inlineStr">
        <is>
          <t>Honorarios de servicio</t>
        </is>
      </c>
      <c r="B47" s="60">
        <f>Numeros!B32</f>
        <v/>
      </c>
    </row>
    <row r="48" ht="21.75" customHeight="1" s="43">
      <c r="A48" s="59" t="inlineStr">
        <is>
          <t>Honorarios (%) sobre coste total minimo</t>
        </is>
      </c>
      <c r="B48" s="61">
        <f>Numeros!B36</f>
        <v/>
      </c>
    </row>
    <row r="49" ht="21.75" customHeight="1" s="43">
      <c r="A49" s="59" t="inlineStr">
        <is>
          <t>Precio medio de comparables de mercado</t>
        </is>
      </c>
      <c r="B49" s="60">
        <f>Numeros!G52</f>
        <v/>
      </c>
    </row>
    <row r="51" ht="15" customHeight="1" s="43">
      <c r="A51" s="51" t="inlineStr">
        <is>
          <t>PROGRESO DE REVISION</t>
        </is>
      </c>
    </row>
    <row r="52" ht="21.75" customHeight="1" s="43">
      <c r="A52" s="59" t="inlineStr">
        <is>
          <t>Checklist inspeccion - puntos OK</t>
        </is>
      </c>
      <c r="B52" s="60">
        <f>COUNTIF('Checklist inspeccion'!C:C,"OK")</f>
        <v/>
      </c>
    </row>
    <row r="53" ht="21.75" customHeight="1" s="43">
      <c r="A53" s="59" t="inlineStr">
        <is>
          <t>Checklist inspeccion - puntos a revisar</t>
        </is>
      </c>
      <c r="B53" s="60">
        <f>COUNTIF('Checklist inspeccion'!C:C,"Revisar")</f>
        <v/>
      </c>
    </row>
    <row r="54" ht="21.75" customHeight="1" s="43">
      <c r="A54" s="59" t="inlineStr">
        <is>
          <t>Checklist inspeccion - total de puntos</t>
        </is>
      </c>
      <c r="B54" s="60">
        <f>COUNT('Checklist inspeccion'!A:A)</f>
        <v/>
      </c>
    </row>
    <row r="55" ht="21.75" customHeight="1" s="43">
      <c r="A55" s="59" t="inlineStr">
        <is>
          <t>Documentacion - recibidos</t>
        </is>
      </c>
      <c r="B55" s="60">
        <f>COUNTIF('Checklist documentacion'!C6:C20,"Si")</f>
        <v/>
      </c>
    </row>
    <row r="56" ht="21.75" customHeight="1" s="43">
      <c r="A56" s="59" t="inlineStr">
        <is>
          <t>Documentacion - total requerida</t>
        </is>
      </c>
      <c r="B56" s="60">
        <f>COUNTA('Checklist documentacion'!B6:B20)</f>
        <v/>
      </c>
    </row>
    <row r="58" ht="15" customHeight="1" s="43">
      <c r="A58" s="53" t="inlineStr">
        <is>
          <t>Nota: si "puntos a revisar" es mayor que 0, hay algo detectado en la inspeccion que requiere decision antes de firmar.</t>
        </is>
      </c>
    </row>
  </sheetData>
  <mergeCells count="5">
    <mergeCell ref="A51:B51"/>
    <mergeCell ref="A42:B42"/>
    <mergeCell ref="A30:C30"/>
    <mergeCell ref="A39:C39"/>
    <mergeCell ref="A4:C4"/>
  </mergeCells>
  <conditionalFormatting sqref="B46:B47">
    <cfRule type="cellIs" rank="0" priority="2" equalAverage="0" operator="lessThan" aboveAverage="0" dxfId="0" text="" percent="0" bottom="0">
      <formula>0</formula>
    </cfRule>
    <cfRule type="cellIs" rank="0" priority="3" equalAverage="0" operator="greaterThanOrEqual" aboveAverage="0" dxfId="1" text="" percent="0" bottom="0">
      <formula>0</formula>
    </cfRule>
  </conditionalFormatting>
  <conditionalFormatting sqref="B48">
    <cfRule type="cellIs" rank="0" priority="4" equalAverage="0" operator="lessThan" aboveAverage="0" dxfId="0" text="" percent="0" bottom="0">
      <formula>0</formula>
    </cfRule>
    <cfRule type="cellIs" rank="0" priority="5" equalAverage="0" operator="greaterThanOrEqual" aboveAverage="0" dxfId="1" text="" percent="0" bottom="0">
      <formula>0.1</formula>
    </cfRule>
  </conditionalFormatting>
  <conditionalFormatting sqref="B53">
    <cfRule type="cellIs" rank="0" priority="6" equalAverage="0" operator="greaterThan" aboveAverage="0" dxfId="0" text="" percent="0" bottom="0">
      <formula>0</formula>
    </cfRule>
    <cfRule type="cellIs" rank="0" priority="7" equalAverage="0" operator="equal" aboveAverage="0" dxfId="1"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1C3A5E"/>
    <outlinePr summaryBelow="1" summaryRight="1"/>
    <pageSetUpPr fitToPage="0"/>
  </sheetPr>
  <dimension ref="A1:I5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42" min="1" max="1"/>
    <col width="14" customWidth="1" style="42" min="2" max="3"/>
    <col width="46" customWidth="1" style="42" min="4" max="4"/>
    <col width="10" customWidth="1" style="42" min="5" max="6"/>
    <col width="12" customWidth="1" style="42" min="7" max="7"/>
    <col width="16" customWidth="1" style="42" min="8" max="8"/>
    <col width="30" customWidth="1" style="42" min="9" max="9"/>
  </cols>
  <sheetData>
    <row r="1" ht="17.25" customHeight="1" s="43">
      <c r="A1" s="44" t="inlineStr">
        <is>
          <t>Numeros - Presupuesto, honorarios y comparables</t>
        </is>
      </c>
    </row>
    <row r="2" ht="15" customHeight="1" s="43">
      <c r="A2" s="45" t="inlineStr">
        <is>
          <t>Coste total puesto en Espania, honorarios de servicio y comparables de mercado. Celdas azules ajustables; el resto se recalcula solo.</t>
        </is>
      </c>
    </row>
    <row r="4" ht="15" customHeight="1" s="43">
      <c r="A4" s="51" t="inlineStr">
        <is>
          <t>PRESUPUESTO DE IMPORTACION</t>
        </is>
      </c>
    </row>
    <row r="5" ht="15" customHeight="1" s="43">
      <c r="A5" s="52" t="inlineStr">
        <is>
          <t>Concepto</t>
        </is>
      </c>
      <c r="B5" s="52" t="inlineStr">
        <is>
          <t>Minimo (EUR)</t>
        </is>
      </c>
      <c r="C5" s="52" t="inlineStr">
        <is>
          <t>Maximo (EUR)</t>
        </is>
      </c>
      <c r="D5" s="52" t="inlineStr">
        <is>
          <t>Notas</t>
        </is>
      </c>
    </row>
    <row r="6" ht="15" customHeight="1" s="43">
      <c r="A6" s="47" t="inlineStr">
        <is>
          <t>Precio de compra</t>
        </is>
      </c>
      <c r="B6" s="49">
        <f>'Vehiculo y resumen'!B18</f>
        <v/>
      </c>
      <c r="C6" s="49">
        <f>'Vehiculo y resumen'!B18</f>
        <v/>
      </c>
      <c r="D6" s="53" t="inlineStr">
        <is>
          <t>Enlazado a 'Vehiculo y resumen'. Incluye IVA de origen si aplica.</t>
        </is>
      </c>
    </row>
    <row r="7" ht="15" customHeight="1" s="43">
      <c r="A7" s="54" t="inlineStr">
        <is>
          <t>Vuelo / tren / bus (ida)</t>
        </is>
      </c>
      <c r="B7" s="55" t="n">
        <v>120</v>
      </c>
      <c r="C7" s="55" t="n">
        <v>180</v>
      </c>
      <c r="D7" s="56" t="n"/>
    </row>
    <row r="8" ht="15" customHeight="1" s="43">
      <c r="A8" s="47" t="inlineStr">
        <is>
          <t>Gasolina de vuelta</t>
        </is>
      </c>
      <c r="B8" s="48" t="n">
        <v>150</v>
      </c>
      <c r="C8" s="48" t="n">
        <v>220</v>
      </c>
    </row>
    <row r="9" ht="15" customHeight="1" s="43">
      <c r="A9" s="54" t="inlineStr">
        <is>
          <t>Peajes</t>
        </is>
      </c>
      <c r="B9" s="55" t="n">
        <v>90</v>
      </c>
      <c r="C9" s="55" t="n">
        <v>110</v>
      </c>
      <c r="D9" s="56" t="n"/>
    </row>
    <row r="10" ht="15" customHeight="1" s="43">
      <c r="A10" s="47" t="inlineStr">
        <is>
          <t>Vinietas / tasas tunel</t>
        </is>
      </c>
      <c r="B10" s="48" t="n">
        <v>10</v>
      </c>
      <c r="C10" s="48" t="n">
        <v>20</v>
      </c>
    </row>
    <row r="11" ht="15" customHeight="1" s="43">
      <c r="A11" s="54" t="inlineStr">
        <is>
          <t>Placas provisionales + seguro temporal</t>
        </is>
      </c>
      <c r="B11" s="55" t="n">
        <v>150</v>
      </c>
      <c r="C11" s="55" t="n">
        <v>200</v>
      </c>
      <c r="D11" s="56" t="n"/>
    </row>
    <row r="12" ht="15" customHeight="1" s="43">
      <c r="A12" s="47" t="inlineStr">
        <is>
          <t>Alojamiento y manutencion</t>
        </is>
      </c>
      <c r="B12" s="48" t="n">
        <v>100</v>
      </c>
      <c r="C12" s="48" t="n">
        <v>200</v>
      </c>
    </row>
    <row r="13" ht="15" customHeight="1" s="43">
      <c r="A13" s="62" t="inlineStr">
        <is>
          <t>Subtotal logistica de viaje</t>
        </is>
      </c>
      <c r="B13" s="54">
        <f>SUM(B7:B12)</f>
        <v/>
      </c>
      <c r="C13" s="54">
        <f>SUM(C7:C12)</f>
        <v/>
      </c>
      <c r="D13" s="56" t="n"/>
    </row>
    <row r="15" ht="15" customHeight="1" s="43">
      <c r="A15" s="54" t="inlineStr">
        <is>
          <t>ITV espaniola de importacion</t>
        </is>
      </c>
      <c r="B15" s="55" t="n">
        <v>100</v>
      </c>
      <c r="C15" s="55" t="n">
        <v>150</v>
      </c>
      <c r="D15" s="56" t="n"/>
    </row>
    <row r="16" ht="15" customHeight="1" s="43">
      <c r="A16" s="47" t="inlineStr">
        <is>
          <t>IEDMT (impuesto de matriculacion)</t>
        </is>
      </c>
      <c r="B16" s="63">
        <f>IF('Vehiculo y resumen'!B19&lt;=120,0,IF('Vehiculo y resumen'!B19&lt;=160,'Vehiculo y resumen'!B18*0.0475,IF('Vehiculo y resumen'!B19&lt;=200,'Vehiculo y resumen'!B18*0.0975,'Vehiculo y resumen'!B18*0.1475)))</f>
        <v/>
      </c>
      <c r="C16" s="63">
        <f>IF('Vehiculo y resumen'!B19&lt;=120,0,IF('Vehiculo y resumen'!B19&lt;=160,'Vehiculo y resumen'!B18*0.0475,IF('Vehiculo y resumen'!B19&lt;=200,'Vehiculo y resumen'!B18*0.0975,'Vehiculo y resumen'!B18*0.1475)))</f>
        <v/>
      </c>
      <c r="D16" s="53" t="inlineStr">
        <is>
          <t>Tramos CO2 orientativos: 0% &lt;=120g/km, 4.75% 121-160, 9.75% 161-200, 14.75% &gt;200. Verificar tabla vigente.</t>
        </is>
      </c>
    </row>
    <row r="17" ht="15" customHeight="1" s="43">
      <c r="A17" s="54" t="inlineStr">
        <is>
          <t>Tasa DGT matriculacion</t>
        </is>
      </c>
      <c r="B17" s="55" t="n">
        <v>55</v>
      </c>
      <c r="C17" s="55" t="n">
        <v>55</v>
      </c>
      <c r="D17" s="56" t="n"/>
    </row>
    <row r="18" ht="15" customHeight="1" s="43">
      <c r="A18" s="47" t="inlineStr">
        <is>
          <t>Gestoria (0 si lo tramitas tu mismo)</t>
        </is>
      </c>
      <c r="B18" s="48" t="n">
        <v>0</v>
      </c>
      <c r="C18" s="48" t="n">
        <v>400</v>
      </c>
    </row>
    <row r="19" ht="15" customHeight="1" s="43">
      <c r="A19" s="54" t="inlineStr">
        <is>
          <t>Placas nuevas Espania</t>
        </is>
      </c>
      <c r="B19" s="55" t="n">
        <v>20</v>
      </c>
      <c r="C19" s="55" t="n">
        <v>20</v>
      </c>
      <c r="D19" s="56" t="n"/>
    </row>
    <row r="20" ht="15" customHeight="1" s="43">
      <c r="A20" s="62" t="inlineStr">
        <is>
          <t>Subtotal impuestos y tramites Espania</t>
        </is>
      </c>
      <c r="B20" s="54">
        <f>SUM(B15:B19)</f>
        <v/>
      </c>
      <c r="C20" s="54">
        <f>SUM(C15:C19)</f>
        <v/>
      </c>
      <c r="D20" s="56" t="n"/>
    </row>
    <row r="22" ht="15" customHeight="1" s="43">
      <c r="A22" s="47" t="inlineStr">
        <is>
          <t>Coste financiacion / intereses prestamo (si aplica)</t>
        </is>
      </c>
      <c r="B22" s="48" t="n">
        <v>0</v>
      </c>
      <c r="C22" s="48" t="n">
        <v>700</v>
      </c>
      <c r="D22" s="53" t="inlineStr">
        <is>
          <t>Puente y devuelto rapido = coste bajo. Prestamo largo a tipo alto (10-12%) = coste alto. Negociar tipo en oficina, no por la app.</t>
        </is>
      </c>
    </row>
    <row r="24" ht="15" customHeight="1" s="43">
      <c r="A24" s="64" t="inlineStr">
        <is>
          <t>COSTE TOTAL PUESTO EN ESPANIA</t>
        </is>
      </c>
      <c r="B24" s="64">
        <f>B6+B13+B20+B22</f>
        <v/>
      </c>
      <c r="C24" s="64">
        <f>C6+C13+C20+C22</f>
        <v/>
      </c>
      <c r="D24" s="65" t="n"/>
    </row>
    <row r="27" ht="15" customHeight="1" s="43">
      <c r="A27" s="51" t="inlineStr">
        <is>
          <t>HONORARIOS Y PRECIO TODO INCLUIDO AL CLIENTE</t>
        </is>
      </c>
    </row>
    <row r="28" ht="15" customHeight="1" s="43">
      <c r="A28" s="52" t="inlineStr">
        <is>
          <t>Concepto</t>
        </is>
      </c>
      <c r="B28" s="52" t="inlineStr">
        <is>
          <t>Valor (EUR)</t>
        </is>
      </c>
      <c r="C28" s="52" t="inlineStr">
        <is>
          <t>Notas</t>
        </is>
      </c>
    </row>
    <row r="29" ht="15" customHeight="1" s="43">
      <c r="A29" s="54" t="inlineStr">
        <is>
          <t>Coste total puesto en Espania (minimo)</t>
        </is>
      </c>
      <c r="B29" s="54">
        <f>B24</f>
        <v/>
      </c>
      <c r="C29" s="56" t="n"/>
    </row>
    <row r="30" ht="15" customHeight="1" s="43">
      <c r="A30" s="47" t="inlineStr">
        <is>
          <t>Coste total puesto en Espania (maximo)</t>
        </is>
      </c>
      <c r="B30" s="47">
        <f>C24</f>
        <v/>
      </c>
    </row>
    <row r="32" ht="15" customHeight="1" s="43">
      <c r="A32" s="54" t="inlineStr">
        <is>
          <t>Honorarios de servicio (tramo: hasta 15.000E=1.500E / 15.000-30.000E=2.000-2.500E / +30.000E=2.500-3.500E)</t>
        </is>
      </c>
      <c r="B32" s="55" t="n">
        <v>1500</v>
      </c>
      <c r="C32" s="57" t="inlineStr">
        <is>
          <t>Ajustar segun comparables reales de mercado (ver bloque de abajo)</t>
        </is>
      </c>
    </row>
    <row r="34" ht="15" customHeight="1" s="43">
      <c r="A34" s="54" t="inlineStr">
        <is>
          <t>Precio todo incluido al cliente (escenario coste minimo)</t>
        </is>
      </c>
      <c r="B34" s="54">
        <f>B29+B32</f>
        <v/>
      </c>
      <c r="C34" s="56" t="n"/>
    </row>
    <row r="35" ht="15" customHeight="1" s="43">
      <c r="A35" s="47" t="inlineStr">
        <is>
          <t>Precio todo incluido al cliente (escenario coste maximo)</t>
        </is>
      </c>
      <c r="B35" s="47">
        <f>B30+B32</f>
        <v/>
      </c>
    </row>
    <row r="36" ht="15" customHeight="1" s="43">
      <c r="A36" s="54" t="inlineStr">
        <is>
          <t>Honorarios (%) sobre coste total, escenario minimo</t>
        </is>
      </c>
      <c r="B36" s="66">
        <f>B32/B29</f>
        <v/>
      </c>
      <c r="C36" s="56" t="n"/>
    </row>
    <row r="39" ht="15" customHeight="1" s="43">
      <c r="A39" s="51" t="inlineStr">
        <is>
          <t>COMPARABLES DE MERCADO</t>
        </is>
      </c>
    </row>
    <row r="40" ht="15" customHeight="1" s="43">
      <c r="A40" s="53" t="inlineStr">
        <is>
          <t>Registra aqui anuncios similares que encuentres (o que investigue el skill) para defender tu precio de compra y de venta con datos reales.</t>
        </is>
      </c>
    </row>
    <row r="41" ht="15" customHeight="1" s="43">
      <c r="A41" s="52" t="inlineStr">
        <is>
          <t>Portal</t>
        </is>
      </c>
      <c r="B41" s="52" t="inlineStr">
        <is>
          <t>URL</t>
        </is>
      </c>
      <c r="C41" s="52" t="inlineStr">
        <is>
          <t>Motor</t>
        </is>
      </c>
      <c r="D41" s="52" t="inlineStr">
        <is>
          <t>CV</t>
        </is>
      </c>
      <c r="E41" s="52" t="inlineStr">
        <is>
          <t>Anio</t>
        </is>
      </c>
      <c r="F41" s="52" t="inlineStr">
        <is>
          <t>Km</t>
        </is>
      </c>
      <c r="G41" s="52" t="inlineStr">
        <is>
          <t>Precio (EUR)</t>
        </is>
      </c>
      <c r="H41" s="52" t="inlineStr">
        <is>
          <t>Ubicacion</t>
        </is>
      </c>
      <c r="I41" s="52" t="inlineStr">
        <is>
          <t>Notas</t>
        </is>
      </c>
    </row>
    <row r="42" ht="15" customHeight="1" s="43">
      <c r="A42" s="48" t="inlineStr">
        <is>
          <t>Flexicar</t>
        </is>
      </c>
      <c r="B42" s="48" t="n"/>
      <c r="C42" s="48" t="inlineStr">
        <is>
          <t>1.5 TSI DSG Variant</t>
        </is>
      </c>
      <c r="D42" s="48" t="n">
        <v>150</v>
      </c>
      <c r="E42" s="48" t="n">
        <v>2019</v>
      </c>
      <c r="F42" s="48" t="n">
        <v>73541</v>
      </c>
      <c r="G42" s="48" t="n">
        <v>20490</v>
      </c>
      <c r="H42" s="48" t="inlineStr">
        <is>
          <t>Barcelona</t>
        </is>
      </c>
      <c r="I42" s="48" t="inlineStr">
        <is>
          <t>Variant (familiar), no comparable directo: carroceria distinta a la del hatchback</t>
        </is>
      </c>
    </row>
    <row r="43" ht="15" customHeight="1" s="43">
      <c r="A43" s="55" t="inlineStr">
        <is>
          <t>Flexicar</t>
        </is>
      </c>
      <c r="B43" s="55" t="n"/>
      <c r="C43" s="55" t="inlineStr">
        <is>
          <t>1.5 TSI DSG</t>
        </is>
      </c>
      <c r="D43" s="55" t="n">
        <v>150</v>
      </c>
      <c r="E43" s="55" t="n">
        <v>2018</v>
      </c>
      <c r="F43" s="55" t="n">
        <v>104000</v>
      </c>
      <c r="G43" s="55" t="n">
        <v>16490</v>
      </c>
      <c r="H43" s="55" t="inlineStr">
        <is>
          <t>Barcelona (Sant Just)</t>
        </is>
      </c>
      <c r="I43" s="55" t="inlineStr">
        <is>
          <t>Hatchback R-Line, SIN techo panoramico. El R-Line mas barato encontrado en Flexicar</t>
        </is>
      </c>
    </row>
    <row r="44" ht="15" customHeight="1" s="43">
      <c r="A44" s="48" t="inlineStr">
        <is>
          <t>Referencia generica</t>
        </is>
      </c>
      <c r="B44" s="48" t="n"/>
      <c r="C44" s="48" t="inlineStr">
        <is>
          <t>1.5 TSI DSG</t>
        </is>
      </c>
      <c r="D44" s="48" t="n">
        <v>150</v>
      </c>
      <c r="E44" s="48" t="inlineStr">
        <is>
          <t>2018-2019</t>
        </is>
      </c>
      <c r="F44" s="48" t="n"/>
      <c r="G44" s="48" t="n">
        <v>17000</v>
      </c>
      <c r="H44" s="48" t="inlineStr">
        <is>
          <t>Espania (varios)</t>
        </is>
      </c>
      <c r="I44" s="48" t="inlineStr">
        <is>
          <t>Precio orientativo de mercado para R-Line bien equipado, citado como referencia</t>
        </is>
      </c>
    </row>
    <row r="46" ht="15" customHeight="1" s="43">
      <c r="A46" s="56" t="n"/>
      <c r="B46" s="56" t="n"/>
      <c r="C46" s="56" t="n"/>
      <c r="D46" s="56" t="n"/>
      <c r="E46" s="56" t="n"/>
      <c r="F46" s="56" t="n"/>
      <c r="G46" s="56" t="n"/>
      <c r="H46" s="56" t="n"/>
      <c r="I46" s="56" t="n"/>
    </row>
    <row r="48" ht="15" customHeight="1" s="43">
      <c r="A48" s="56" t="n"/>
      <c r="B48" s="56" t="n"/>
      <c r="C48" s="56" t="n"/>
      <c r="D48" s="56" t="n"/>
      <c r="E48" s="56" t="n"/>
      <c r="F48" s="56" t="n"/>
      <c r="G48" s="56" t="n"/>
      <c r="H48" s="56" t="n"/>
      <c r="I48" s="56" t="n"/>
    </row>
    <row r="50" ht="15" customHeight="1" s="43">
      <c r="A50" s="56" t="n"/>
      <c r="B50" s="56" t="n"/>
      <c r="C50" s="56" t="n"/>
      <c r="D50" s="56" t="n"/>
      <c r="E50" s="56" t="n"/>
      <c r="F50" s="56" t="n"/>
      <c r="G50" s="56" t="n"/>
      <c r="H50" s="56" t="n"/>
      <c r="I50" s="56" t="n"/>
    </row>
    <row r="52" ht="15" customHeight="1" s="43">
      <c r="A52" s="67" t="inlineStr">
        <is>
          <t>Precio medio de comparables</t>
        </is>
      </c>
      <c r="G52" s="47">
        <f>IFERROR(AVERAGE(G42:G50),0)</f>
        <v/>
      </c>
    </row>
    <row r="54" ht="15" customHeight="1" s="43">
      <c r="A54" s="53" t="inlineStr">
        <is>
          <t>Nota: compara con al menos 3-5 anuncios similares (mismo motor, anio y kilometraje) para defender el precio de compra y verificar que el precio todo incluido queda por debajo o en linea con el mercado espaniol (semaforo).</t>
        </is>
      </c>
    </row>
    <row r="56" ht="15" customHeight="1" s="43">
      <c r="A56" s="68" t="inlineStr">
        <is>
          <t>Comparativa rapida (grafico)</t>
        </is>
      </c>
    </row>
    <row r="57" ht="15" customHeight="1" s="43">
      <c r="A57" s="69" t="inlineStr">
        <is>
          <t>Coste total (minimo)</t>
        </is>
      </c>
      <c r="B57" s="70">
        <f>B24</f>
        <v/>
      </c>
    </row>
    <row r="58" ht="15" customHeight="1" s="43">
      <c r="A58" s="69" t="inlineStr">
        <is>
          <t>Precio de venta estimado</t>
        </is>
      </c>
      <c r="B58" s="70">
        <f>B32</f>
        <v/>
      </c>
    </row>
    <row r="59" ht="15" customHeight="1" s="43">
      <c r="A59" s="69" t="inlineStr">
        <is>
          <t>Precio medio de comparables</t>
        </is>
      </c>
      <c r="B59" s="70">
        <f>G52</f>
        <v/>
      </c>
    </row>
  </sheetData>
  <mergeCells count="3">
    <mergeCell ref="A27:C27"/>
    <mergeCell ref="A4:D4"/>
    <mergeCell ref="A39:I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tabColor rgb="FFE8590C"/>
    <outlinePr summaryBelow="1" summaryRight="1"/>
    <pageSetUpPr fitToPage="0"/>
  </sheetPr>
  <dimension ref="A1:E9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42" min="1" max="1"/>
    <col width="66" customWidth="1" style="42" min="2" max="2"/>
    <col width="14" customWidth="1" style="42" min="3" max="3"/>
    <col width="12" customWidth="1" style="42" min="4" max="4"/>
    <col width="34" customWidth="1" style="42" min="5" max="5"/>
  </cols>
  <sheetData>
    <row r="1" ht="17.25" customHeight="1" s="43">
      <c r="A1" s="44" t="inlineStr">
        <is>
          <t>Checklist de inspeccion fisica del vehiculo</t>
        </is>
      </c>
    </row>
    <row r="2" ht="15" customHeight="1" s="43">
      <c r="A2" s="45" t="inlineStr">
        <is>
          <t>Usar durante la visita presencial, punto por punto, antes de firmar nada. Prioridad orienta que hallazgos son bloqueantes.</t>
        </is>
      </c>
    </row>
    <row r="4" ht="15" customHeight="1" s="43">
      <c r="A4" s="52" t="inlineStr">
        <is>
          <t>#</t>
        </is>
      </c>
      <c r="B4" s="52" t="inlineStr">
        <is>
          <t>Punto a revisar</t>
        </is>
      </c>
      <c r="C4" s="52" t="inlineStr">
        <is>
          <t>Prioridad</t>
        </is>
      </c>
      <c r="D4" s="52" t="inlineStr">
        <is>
          <t>Estado</t>
        </is>
      </c>
      <c r="E4" s="52" t="inlineStr">
        <is>
          <t>Notas / evidencia</t>
        </is>
      </c>
    </row>
    <row r="5" ht="15" customHeight="1" s="43">
      <c r="A5" s="71" t="n"/>
      <c r="B5" s="72" t="inlineStr">
        <is>
          <t>EXTERIOR</t>
        </is>
      </c>
      <c r="C5" s="71" t="n"/>
      <c r="D5" s="71" t="n"/>
      <c r="E5" s="71" t="n"/>
    </row>
    <row r="6" ht="15" customHeight="1" s="43">
      <c r="A6" s="47" t="n">
        <v>1</v>
      </c>
      <c r="B6" s="47" t="inlineStr">
        <is>
          <t>Faros delanteros: sin condensacion, sin grietas, buen funcionamiento de luces de cruce/carretera</t>
        </is>
      </c>
      <c r="C6" s="47" t="inlineStr">
        <is>
          <t>Importante</t>
        </is>
      </c>
      <c r="D6" s="48" t="inlineStr">
        <is>
          <t>Pendiente</t>
        </is>
      </c>
    </row>
    <row r="7" ht="15" customHeight="1" s="43">
      <c r="A7" s="54" t="n">
        <v>2</v>
      </c>
      <c r="B7" s="54" t="inlineStr">
        <is>
          <t>Pilotos traseros y antiniebla: encienden bien, sin humedad interior, sin fisuras</t>
        </is>
      </c>
      <c r="C7" s="54" t="inlineStr">
        <is>
          <t>Importante</t>
        </is>
      </c>
      <c r="D7" s="55" t="inlineStr">
        <is>
          <t>Pendiente</t>
        </is>
      </c>
      <c r="E7" s="56" t="n"/>
    </row>
    <row r="8" ht="15" customHeight="1" s="43">
      <c r="A8" s="47" t="n">
        <v>3</v>
      </c>
      <c r="B8" s="47" t="inlineStr">
        <is>
          <t>Intermitentes delanteros/traseros/laterales: funcionan correctamente</t>
        </is>
      </c>
      <c r="C8" s="47" t="inlineStr">
        <is>
          <t>Importante</t>
        </is>
      </c>
      <c r="D8" s="48" t="inlineStr">
        <is>
          <t>Pendiente</t>
        </is>
      </c>
    </row>
    <row r="9" ht="15" customHeight="1" s="43">
      <c r="A9" s="54" t="n">
        <v>4</v>
      </c>
      <c r="B9" s="54" t="inlineStr">
        <is>
          <t>Llantas: sin golpes, deformaciones ni grietas, las 4 iguales</t>
        </is>
      </c>
      <c r="C9" s="54" t="inlineStr">
        <is>
          <t>Importante</t>
        </is>
      </c>
      <c r="D9" s="55" t="inlineStr">
        <is>
          <t>Pendiente</t>
        </is>
      </c>
      <c r="E9" s="56" t="n"/>
    </row>
    <row r="10" ht="15" customHeight="1" s="43">
      <c r="A10" s="47" t="n">
        <v>5</v>
      </c>
      <c r="B10" s="47" t="inlineStr">
        <is>
          <t>Neumaticos: profundidad de dibujo (minimo legal 1,6mm), desgaste uniforme, misma marca/modelo en las 4</t>
        </is>
      </c>
      <c r="C10" s="47" t="inlineStr">
        <is>
          <t>Importante</t>
        </is>
      </c>
      <c r="D10" s="48" t="inlineStr">
        <is>
          <t>Pendiente</t>
        </is>
      </c>
    </row>
    <row r="11" ht="15" customHeight="1" s="43">
      <c r="A11" s="54" t="n">
        <v>6</v>
      </c>
      <c r="B11" s="54" t="inlineStr">
        <is>
          <t>Neumaticos: anio de fabricacion (DOT) no excesivamente antiguo</t>
        </is>
      </c>
      <c r="C11" s="54" t="inlineStr">
        <is>
          <t>Menor</t>
        </is>
      </c>
      <c r="D11" s="55" t="inlineStr">
        <is>
          <t>Pendiente</t>
        </is>
      </c>
      <c r="E11" s="56" t="n"/>
    </row>
    <row r="12" ht="15" customHeight="1" s="43">
      <c r="A12" s="47" t="n">
        <v>7</v>
      </c>
      <c r="B12" s="47" t="inlineStr">
        <is>
          <t>Pintura: tono homogeneo panel a panel, sin diferencias de brillo (posible repintado)</t>
        </is>
      </c>
      <c r="C12" s="73" t="inlineStr">
        <is>
          <t>Critico</t>
        </is>
      </c>
      <c r="D12" s="48" t="inlineStr">
        <is>
          <t>Pendiente</t>
        </is>
      </c>
    </row>
    <row r="13" ht="15" customHeight="1" s="43">
      <c r="A13" s="54" t="n">
        <v>8</v>
      </c>
      <c r="B13" s="54" t="inlineStr">
        <is>
          <t>Carroceria: holguras uniformes entre puertas, capo y maletero</t>
        </is>
      </c>
      <c r="C13" s="74" t="inlineStr">
        <is>
          <t>Critico</t>
        </is>
      </c>
      <c r="D13" s="55" t="inlineStr">
        <is>
          <t>Pendiente</t>
        </is>
      </c>
      <c r="E13" s="56" t="n"/>
    </row>
    <row r="14" ht="15" customHeight="1" s="43">
      <c r="A14" s="47" t="n">
        <v>9</v>
      </c>
      <c r="B14" s="47" t="inlineStr">
        <is>
          <t>Bajos y pasos de rueda: sin oxido excesivo ni signos de golpe/reparacion</t>
        </is>
      </c>
      <c r="C14" s="73" t="inlineStr">
        <is>
          <t>Critico</t>
        </is>
      </c>
      <c r="D14" s="48" t="inlineStr">
        <is>
          <t>Pendiente</t>
        </is>
      </c>
    </row>
    <row r="15" ht="15" customHeight="1" s="43">
      <c r="A15" s="54" t="n">
        <v>10</v>
      </c>
      <c r="B15" s="54" t="inlineStr">
        <is>
          <t>Parabrisas y cristales: sin grietas ni impactos grandes, marcado de fabrica coherente en todos</t>
        </is>
      </c>
      <c r="C15" s="54" t="inlineStr">
        <is>
          <t>Importante</t>
        </is>
      </c>
      <c r="D15" s="55" t="inlineStr">
        <is>
          <t>Pendiente</t>
        </is>
      </c>
      <c r="E15" s="56" t="n"/>
    </row>
    <row r="16" ht="15" customHeight="1" s="43">
      <c r="A16" s="47" t="n">
        <v>11</v>
      </c>
      <c r="B16" s="47" t="inlineStr">
        <is>
          <t>Retrovisores: electricos, plegado, calefactables si aplica, sin grietas</t>
        </is>
      </c>
      <c r="C16" s="47" t="inlineStr">
        <is>
          <t>Menor</t>
        </is>
      </c>
      <c r="D16" s="48" t="inlineStr">
        <is>
          <t>Pendiente</t>
        </is>
      </c>
    </row>
    <row r="17" ht="15" customHeight="1" s="43">
      <c r="A17" s="54" t="n">
        <v>12</v>
      </c>
      <c r="B17" s="54" t="inlineStr">
        <is>
          <t>Parachoques delantero/trasero: sin fisuras, bien anclados, tornilleria sin marcas de haber sido desmontada</t>
        </is>
      </c>
      <c r="C17" s="74" t="inlineStr">
        <is>
          <t>Critico</t>
        </is>
      </c>
      <c r="D17" s="55" t="inlineStr">
        <is>
          <t>Pendiente</t>
        </is>
      </c>
      <c r="E17" s="56" t="n"/>
    </row>
    <row r="18" ht="15" customHeight="1" s="43">
      <c r="A18" s="47" t="n">
        <v>13</v>
      </c>
      <c r="B18" s="47" t="inlineStr">
        <is>
          <t>Techo panoramico: abre/cierra sin ruidos, sin fugas de agua, junta en buen estado</t>
        </is>
      </c>
      <c r="C18" s="47" t="inlineStr">
        <is>
          <t>Importante</t>
        </is>
      </c>
      <c r="D18" s="48" t="inlineStr">
        <is>
          <t>Pendiente</t>
        </is>
      </c>
    </row>
    <row r="19" ht="15" customHeight="1" s="43">
      <c r="A19" s="54" t="n">
        <v>14</v>
      </c>
      <c r="B19" s="54" t="inlineStr">
        <is>
          <t>Escape: sin fugas visibles, sin oxido perforante, silencioso bien sujeto</t>
        </is>
      </c>
      <c r="C19" s="54" t="inlineStr">
        <is>
          <t>Importante</t>
        </is>
      </c>
      <c r="D19" s="55" t="inlineStr">
        <is>
          <t>Pendiente</t>
        </is>
      </c>
      <c r="E19" s="56" t="n"/>
    </row>
    <row r="20" ht="15" customHeight="1" s="43">
      <c r="A20" s="47" t="n">
        <v>15</v>
      </c>
      <c r="B20" s="47" t="inlineStr">
        <is>
          <t>Comparar VIN fisico (chapa motor / marco puerta / parabrisas) con el de los papeles</t>
        </is>
      </c>
      <c r="C20" s="73" t="inlineStr">
        <is>
          <t>Critico</t>
        </is>
      </c>
      <c r="D20" s="48" t="inlineStr">
        <is>
          <t>Pendiente</t>
        </is>
      </c>
    </row>
    <row r="21" ht="15" customHeight="1" s="43">
      <c r="A21" s="54" t="n">
        <v>16</v>
      </c>
      <c r="B21" s="54" t="inlineStr">
        <is>
          <t>Consultar historial de siniestros/kilometraje en un portal tipo Car-Pass/HPI/Carfax si esta disponible para el pais de origen</t>
        </is>
      </c>
      <c r="C21" s="54" t="inlineStr">
        <is>
          <t>Importante</t>
        </is>
      </c>
      <c r="D21" s="55" t="inlineStr">
        <is>
          <t>Pendiente</t>
        </is>
      </c>
      <c r="E21" s="56" t="n"/>
    </row>
    <row r="22" ht="15" customHeight="1" s="43">
      <c r="A22" s="71" t="n"/>
      <c r="B22" s="72" t="inlineStr">
        <is>
          <t>MECANICA</t>
        </is>
      </c>
      <c r="C22" s="71" t="n"/>
      <c r="D22" s="71" t="n"/>
      <c r="E22" s="71" t="n"/>
    </row>
    <row r="23" ht="15" customHeight="1" s="43">
      <c r="A23" s="47" t="n">
        <v>17</v>
      </c>
      <c r="B23" s="47" t="inlineStr">
        <is>
          <t>Nivel y aspecto del aceite de motor (ni muy oscuro ni con aspecto lechoso)</t>
        </is>
      </c>
      <c r="C23" s="73" t="inlineStr">
        <is>
          <t>Critico</t>
        </is>
      </c>
      <c r="D23" s="48" t="inlineStr">
        <is>
          <t>Pendiente</t>
        </is>
      </c>
    </row>
    <row r="24" ht="15" customHeight="1" s="43">
      <c r="A24" s="54" t="n">
        <v>18</v>
      </c>
      <c r="B24" s="54" t="inlineStr">
        <is>
          <t>Fugas de aceite en el motor, carter o juntas</t>
        </is>
      </c>
      <c r="C24" s="74" t="inlineStr">
        <is>
          <t>Critico</t>
        </is>
      </c>
      <c r="D24" s="55" t="inlineStr">
        <is>
          <t>Pendiente</t>
        </is>
      </c>
      <c r="E24" s="56" t="n"/>
    </row>
    <row r="25" ht="15" customHeight="1" s="43">
      <c r="A25" s="47" t="n">
        <v>19</v>
      </c>
      <c r="B25" s="47" t="inlineStr">
        <is>
          <t>Nivel y color del liquido refrigerante, sin fugas en radiador o manguitos</t>
        </is>
      </c>
      <c r="C25" s="73" t="inlineStr">
        <is>
          <t>Critico</t>
        </is>
      </c>
      <c r="D25" s="48" t="inlineStr">
        <is>
          <t>Pendiente</t>
        </is>
      </c>
    </row>
    <row r="26" ht="15" customHeight="1" s="43">
      <c r="A26" s="54" t="n">
        <v>20</v>
      </c>
      <c r="B26" s="54" t="inlineStr">
        <is>
          <t>Liquido de frenos: nivel correcto, sin aspecto turbio</t>
        </is>
      </c>
      <c r="C26" s="74" t="inlineStr">
        <is>
          <t>Critico</t>
        </is>
      </c>
      <c r="D26" s="55" t="inlineStr">
        <is>
          <t>Pendiente</t>
        </is>
      </c>
      <c r="E26" s="56" t="n"/>
    </row>
    <row r="27" ht="15" customHeight="1" s="43">
      <c r="A27" s="47" t="n">
        <v>21</v>
      </c>
      <c r="B27" s="47" t="inlineStr">
        <is>
          <t>Liquido de direccion/servo: nivel correcto</t>
        </is>
      </c>
      <c r="C27" s="47" t="inlineStr">
        <is>
          <t>Importante</t>
        </is>
      </c>
      <c r="D27" s="48" t="inlineStr">
        <is>
          <t>Pendiente</t>
        </is>
      </c>
    </row>
    <row r="28" ht="15" customHeight="1" s="43">
      <c r="A28" s="54" t="n">
        <v>22</v>
      </c>
      <c r="B28" s="54" t="inlineStr">
        <is>
          <t>Correa/cadena de distribucion: constatar si esta cambiada segun el historico del fabricante</t>
        </is>
      </c>
      <c r="C28" s="74" t="inlineStr">
        <is>
          <t>Critico</t>
        </is>
      </c>
      <c r="D28" s="55" t="inlineStr">
        <is>
          <t>Pendiente</t>
        </is>
      </c>
      <c r="E28" s="56" t="n"/>
    </row>
    <row r="29" ht="15" customHeight="1" s="43">
      <c r="A29" s="47" t="n">
        <v>23</v>
      </c>
      <c r="B29" s="47" t="inlineStr">
        <is>
          <t>Bateria: estado, fecha de fabricacion, bornes sin sulfatacion</t>
        </is>
      </c>
      <c r="C29" s="47" t="inlineStr">
        <is>
          <t>Importante</t>
        </is>
      </c>
      <c r="D29" s="48" t="inlineStr">
        <is>
          <t>Pendiente</t>
        </is>
      </c>
    </row>
    <row r="30" ht="15" customHeight="1" s="43">
      <c r="A30" s="54" t="n">
        <v>24</v>
      </c>
      <c r="B30" s="54" t="inlineStr">
        <is>
          <t>Arranque en frio: sin humo azul (aceite) ni blanco persistente (junta culata)</t>
        </is>
      </c>
      <c r="C30" s="74" t="inlineStr">
        <is>
          <t>Critico</t>
        </is>
      </c>
      <c r="D30" s="55" t="inlineStr">
        <is>
          <t>Pendiente</t>
        </is>
      </c>
      <c r="E30" s="56" t="n"/>
    </row>
    <row r="31" ht="15" customHeight="1" s="43">
      <c r="A31" s="47" t="n">
        <v>25</v>
      </c>
      <c r="B31" s="47" t="inlineStr">
        <is>
          <t>Ruidos de motor al ralenti: sin golpeteos ni silbidos anomalos</t>
        </is>
      </c>
      <c r="C31" s="73" t="inlineStr">
        <is>
          <t>Critico</t>
        </is>
      </c>
      <c r="D31" s="48" t="inlineStr">
        <is>
          <t>Pendiente</t>
        </is>
      </c>
    </row>
    <row r="32" ht="15" customHeight="1" s="43">
      <c r="A32" s="54" t="n">
        <v>26</v>
      </c>
      <c r="B32" s="54" t="inlineStr">
        <is>
          <t>Caja de cambios (manual/automatica/DSG): cambios suaves, sin tirones, sin retardo al meter marcha</t>
        </is>
      </c>
      <c r="C32" s="74" t="inlineStr">
        <is>
          <t>Critico</t>
        </is>
      </c>
      <c r="D32" s="55" t="inlineStr">
        <is>
          <t>Pendiente</t>
        </is>
      </c>
      <c r="E32" s="56" t="n"/>
    </row>
    <row r="33" ht="15" customHeight="1" s="43">
      <c r="A33" s="47" t="n">
        <v>27</v>
      </c>
      <c r="B33" s="47" t="inlineStr">
        <is>
          <t>Embrague/convertidor: sin patinazos ni vibraciones al acelerar</t>
        </is>
      </c>
      <c r="C33" s="73" t="inlineStr">
        <is>
          <t>Critico</t>
        </is>
      </c>
      <c r="D33" s="48" t="inlineStr">
        <is>
          <t>Pendiente</t>
        </is>
      </c>
    </row>
    <row r="34" ht="15" customHeight="1" s="43">
      <c r="A34" s="54" t="n">
        <v>28</v>
      </c>
      <c r="B34" s="54" t="inlineStr">
        <is>
          <t>Suspension: sin ruidos al pasar baches, amortiguadores sin fugas de aceite</t>
        </is>
      </c>
      <c r="C34" s="74" t="inlineStr">
        <is>
          <t>Critico</t>
        </is>
      </c>
      <c r="D34" s="55" t="inlineStr">
        <is>
          <t>Pendiente</t>
        </is>
      </c>
      <c r="E34" s="56" t="n"/>
    </row>
    <row r="35" ht="15" customHeight="1" s="43">
      <c r="A35" s="47" t="n">
        <v>29</v>
      </c>
      <c r="B35" s="47" t="inlineStr">
        <is>
          <t>Direccion: sin holguras ni ruidos al girar a tope</t>
        </is>
      </c>
      <c r="C35" s="73" t="inlineStr">
        <is>
          <t>Critico</t>
        </is>
      </c>
      <c r="D35" s="48" t="inlineStr">
        <is>
          <t>Pendiente</t>
        </is>
      </c>
    </row>
    <row r="36" ht="15" customHeight="1" s="43">
      <c r="A36" s="54" t="n">
        <v>30</v>
      </c>
      <c r="B36" s="54" t="inlineStr">
        <is>
          <t>Frenos: discos sin rebabas/deformacion, pastillas con recorrido, sin vibracion al frenar</t>
        </is>
      </c>
      <c r="C36" s="74" t="inlineStr">
        <is>
          <t>Critico</t>
        </is>
      </c>
      <c r="D36" s="55" t="inlineStr">
        <is>
          <t>Pendiente</t>
        </is>
      </c>
      <c r="E36" s="56" t="n"/>
    </row>
    <row r="37" ht="15" customHeight="1" s="43">
      <c r="A37" s="47" t="n">
        <v>31</v>
      </c>
      <c r="B37" s="47" t="inlineStr">
        <is>
          <t>Bajos del motor: sin oxido excesivo, sin protecciones rotas o mal ancladas</t>
        </is>
      </c>
      <c r="C37" s="47" t="inlineStr">
        <is>
          <t>Importante</t>
        </is>
      </c>
      <c r="D37" s="48" t="inlineStr">
        <is>
          <t>Pendiente</t>
        </is>
      </c>
    </row>
    <row r="38" ht="15" customHeight="1" s="43">
      <c r="A38" s="54" t="n">
        <v>32</v>
      </c>
      <c r="B38" s="54" t="inlineStr">
        <is>
          <t>Fugas en intercooler/turbo y manguitos de admision (motores turbo)</t>
        </is>
      </c>
      <c r="C38" s="54" t="inlineStr">
        <is>
          <t>Importante</t>
        </is>
      </c>
      <c r="D38" s="55" t="inlineStr">
        <is>
          <t>Pendiente</t>
        </is>
      </c>
      <c r="E38" s="56" t="n"/>
    </row>
    <row r="39" ht="15" customHeight="1" s="43">
      <c r="A39" s="47" t="n">
        <v>33</v>
      </c>
      <c r="B39" s="47" t="inlineStr">
        <is>
          <t>Soportes de motor (silentblocks): sin holguras ni ruidos al acelerar/frenar en punto muerto</t>
        </is>
      </c>
      <c r="C39" s="47" t="inlineStr">
        <is>
          <t>Importante</t>
        </is>
      </c>
      <c r="D39" s="48" t="inlineStr">
        <is>
          <t>Pendiente</t>
        </is>
      </c>
    </row>
    <row r="40" ht="15" customHeight="1" s="43">
      <c r="A40" s="71" t="n"/>
      <c r="B40" s="72" t="inlineStr">
        <is>
          <t>INTERIOR</t>
        </is>
      </c>
      <c r="C40" s="71" t="n"/>
      <c r="D40" s="71" t="n"/>
      <c r="E40" s="71" t="n"/>
    </row>
    <row r="41" ht="15" customHeight="1" s="43">
      <c r="A41" s="54" t="n">
        <v>34</v>
      </c>
      <c r="B41" s="54" t="inlineStr">
        <is>
          <t>Asientos: tapiceria sin roturas ni manchas, ajustes electricos/manuales funcionan</t>
        </is>
      </c>
      <c r="C41" s="54" t="inlineStr">
        <is>
          <t>Menor</t>
        </is>
      </c>
      <c r="D41" s="55" t="inlineStr">
        <is>
          <t>Pendiente</t>
        </is>
      </c>
      <c r="E41" s="56" t="n"/>
    </row>
    <row r="42" ht="15" customHeight="1" s="43">
      <c r="A42" s="47" t="n">
        <v>35</v>
      </c>
      <c r="B42" s="47" t="inlineStr">
        <is>
          <t>Volante: sin desgaste excesivo (indicativo de kilometraje real), botones multifuncion operativos</t>
        </is>
      </c>
      <c r="C42" s="47" t="inlineStr">
        <is>
          <t>Menor</t>
        </is>
      </c>
      <c r="D42" s="48" t="inlineStr">
        <is>
          <t>Pendiente</t>
        </is>
      </c>
    </row>
    <row r="43" ht="15" customHeight="1" s="43">
      <c r="A43" s="54" t="n">
        <v>36</v>
      </c>
      <c r="B43" s="54" t="inlineStr">
        <is>
          <t>Salpicadero: todos los testigos se apagan tras el arranque, sin luces de averia encendidas</t>
        </is>
      </c>
      <c r="C43" s="74" t="inlineStr">
        <is>
          <t>Critico</t>
        </is>
      </c>
      <c r="D43" s="55" t="inlineStr">
        <is>
          <t>Pendiente</t>
        </is>
      </c>
      <c r="E43" s="56" t="n"/>
    </row>
    <row r="44" ht="15" customHeight="1" s="43">
      <c r="A44" s="47" t="n">
        <v>37</v>
      </c>
      <c r="B44" s="47" t="inlineStr">
        <is>
          <t>Climatizador: frio y calor en ambas zonas, sin olores raros al encender</t>
        </is>
      </c>
      <c r="C44" s="47" t="inlineStr">
        <is>
          <t>Importante</t>
        </is>
      </c>
      <c r="D44" s="48" t="inlineStr">
        <is>
          <t>Pendiente</t>
        </is>
      </c>
    </row>
    <row r="45" ht="15" customHeight="1" s="43">
      <c r="A45" s="54" t="n">
        <v>38</v>
      </c>
      <c r="B45" s="54" t="inlineStr">
        <is>
          <t>Sistema multimedia / radio / pantalla tactil: touch responde bien, Bluetooth y conectividad movil funcionan</t>
        </is>
      </c>
      <c r="C45" s="54" t="inlineStr">
        <is>
          <t>Menor</t>
        </is>
      </c>
      <c r="D45" s="55" t="inlineStr">
        <is>
          <t>Pendiente</t>
        </is>
      </c>
      <c r="E45" s="56" t="n"/>
    </row>
    <row r="46" ht="15" customHeight="1" s="43">
      <c r="A46" s="47" t="n">
        <v>39</v>
      </c>
      <c r="B46" s="47" t="inlineStr">
        <is>
          <t>Cuadro digital / multifuncion: sin pixeles muertos ni parpadeos</t>
        </is>
      </c>
      <c r="C46" s="47" t="inlineStr">
        <is>
          <t>Menor</t>
        </is>
      </c>
      <c r="D46" s="48" t="inlineStr">
        <is>
          <t>Pendiente</t>
        </is>
      </c>
    </row>
    <row r="47" ht="15" customHeight="1" s="43">
      <c r="A47" s="54" t="n">
        <v>40</v>
      </c>
      <c r="B47" s="54" t="inlineStr">
        <is>
          <t>Techo interior y moqueta: sin manchas de humedad (filtraciones del panoramico)</t>
        </is>
      </c>
      <c r="C47" s="54" t="inlineStr">
        <is>
          <t>Importante</t>
        </is>
      </c>
      <c r="D47" s="55" t="inlineStr">
        <is>
          <t>Pendiente</t>
        </is>
      </c>
      <c r="E47" s="56" t="n"/>
    </row>
    <row r="48" ht="15" customHeight="1" s="43">
      <c r="A48" s="47" t="n">
        <v>41</v>
      </c>
      <c r="B48" s="47" t="inlineStr">
        <is>
          <t>Cinturones de seguridad: se extienden y retraen bien, sin deshilachados, pretensores no disparados</t>
        </is>
      </c>
      <c r="C48" s="73" t="inlineStr">
        <is>
          <t>Critico</t>
        </is>
      </c>
      <c r="D48" s="48" t="inlineStr">
        <is>
          <t>Pendiente</t>
        </is>
      </c>
    </row>
    <row r="49" ht="15" customHeight="1" s="43">
      <c r="A49" s="54" t="n">
        <v>42</v>
      </c>
      <c r="B49" s="54" t="inlineStr">
        <is>
          <t>Palanca/pomo de cambio: cuero en buen estado, cambios manuales (+/-) funcionan si aplica</t>
        </is>
      </c>
      <c r="C49" s="54" t="inlineStr">
        <is>
          <t>Menor</t>
        </is>
      </c>
      <c r="D49" s="55" t="inlineStr">
        <is>
          <t>Pendiente</t>
        </is>
      </c>
      <c r="E49" s="56" t="n"/>
    </row>
    <row r="50" ht="15" customHeight="1" s="43">
      <c r="A50" s="47" t="n">
        <v>43</v>
      </c>
      <c r="B50" s="47" t="inlineStr">
        <is>
          <t>Maletero: rueda de repuesto o kit de reparacion presente, suelo sin humedad</t>
        </is>
      </c>
      <c r="C50" s="47" t="inlineStr">
        <is>
          <t>Menor</t>
        </is>
      </c>
      <c r="D50" s="48" t="inlineStr">
        <is>
          <t>Pendiente</t>
        </is>
      </c>
    </row>
    <row r="51" ht="15" customHeight="1" s="43">
      <c r="A51" s="54" t="n">
        <v>44</v>
      </c>
      <c r="B51" s="54" t="inlineStr">
        <is>
          <t>Ventanillas electricas: suben/bajan todas correctamente, funcion anti-atrapamiento operativa</t>
        </is>
      </c>
      <c r="C51" s="54" t="inlineStr">
        <is>
          <t>Importante</t>
        </is>
      </c>
      <c r="D51" s="55" t="inlineStr">
        <is>
          <t>Pendiente</t>
        </is>
      </c>
      <c r="E51" s="56" t="n"/>
    </row>
    <row r="52" ht="15" customHeight="1" s="43">
      <c r="A52" s="47" t="n">
        <v>45</v>
      </c>
      <c r="B52" s="47" t="inlineStr">
        <is>
          <t>Guantera con funcion de refrigeracion (si equipada): funciona</t>
        </is>
      </c>
      <c r="C52" s="47" t="inlineStr">
        <is>
          <t>Menor</t>
        </is>
      </c>
      <c r="D52" s="48" t="inlineStr">
        <is>
          <t>Pendiente</t>
        </is>
      </c>
    </row>
    <row r="53" ht="15" customHeight="1" s="43">
      <c r="A53" s="54" t="n">
        <v>46</v>
      </c>
      <c r="B53" s="54" t="inlineStr">
        <is>
          <t>Olores generales: sin humedad, tabaco ni quemado</t>
        </is>
      </c>
      <c r="C53" s="54" t="inlineStr">
        <is>
          <t>Importante</t>
        </is>
      </c>
      <c r="D53" s="55" t="inlineStr">
        <is>
          <t>Pendiente</t>
        </is>
      </c>
      <c r="E53" s="56" t="n"/>
    </row>
    <row r="54" ht="15" customHeight="1" s="43">
      <c r="A54" s="47" t="n">
        <v>47</v>
      </c>
      <c r="B54" s="47" t="inlineStr">
        <is>
          <t>Isofix y anclajes traseros en buen estado</t>
        </is>
      </c>
      <c r="C54" s="73" t="inlineStr">
        <is>
          <t>Critico</t>
        </is>
      </c>
      <c r="D54" s="48" t="inlineStr">
        <is>
          <t>Pendiente</t>
        </is>
      </c>
    </row>
    <row r="55" ht="15" customHeight="1" s="43">
      <c r="A55" s="54" t="n">
        <v>48</v>
      </c>
      <c r="B55" s="54" t="inlineStr">
        <is>
          <t>Cierre centralizado y mandos a distancia (2 llaves minimo) funcionan correctamente</t>
        </is>
      </c>
      <c r="C55" s="54" t="inlineStr">
        <is>
          <t>Importante</t>
        </is>
      </c>
      <c r="D55" s="55" t="inlineStr">
        <is>
          <t>Pendiente</t>
        </is>
      </c>
      <c r="E55" s="56" t="n"/>
    </row>
    <row r="56" ht="15" customHeight="1" s="43">
      <c r="A56" s="47" t="n">
        <v>49</v>
      </c>
      <c r="B56" s="47" t="inlineStr">
        <is>
          <t>Kit de emergencia: triangulos y chaleco reglamentarios presentes (si el pais de origen los exige)</t>
        </is>
      </c>
      <c r="C56" s="47" t="inlineStr">
        <is>
          <t>Menor</t>
        </is>
      </c>
      <c r="D56" s="48" t="inlineStr">
        <is>
          <t>Pendiente</t>
        </is>
      </c>
    </row>
    <row r="57" ht="15" customHeight="1" s="43">
      <c r="A57" s="71" t="n"/>
      <c r="B57" s="72" t="inlineStr">
        <is>
          <t>ELECTRONICA Y DIAGNOSIS (maquina OBD)</t>
        </is>
      </c>
      <c r="C57" s="71" t="n"/>
      <c r="D57" s="71" t="n"/>
      <c r="E57" s="71" t="n"/>
    </row>
    <row r="58" ht="15" customHeight="1" s="43">
      <c r="A58" s="54" t="n">
        <v>50</v>
      </c>
      <c r="B58" s="54" t="inlineStr">
        <is>
          <t>Conectar maquina de diagnosis OBD2 al puerto del vehiculo</t>
        </is>
      </c>
      <c r="C58" s="54" t="inlineStr">
        <is>
          <t>Importante</t>
        </is>
      </c>
      <c r="D58" s="55" t="inlineStr">
        <is>
          <t>Pendiente</t>
        </is>
      </c>
      <c r="E58" s="56" t="n"/>
    </row>
    <row r="59" ht="15" customHeight="1" s="43">
      <c r="A59" s="47" t="n">
        <v>51</v>
      </c>
      <c r="B59" s="47" t="inlineStr">
        <is>
          <t>Escanear TODOS los sistemas (motor, ABS, airbag, cambio, confort), no solo motor</t>
        </is>
      </c>
      <c r="C59" s="73" t="inlineStr">
        <is>
          <t>Critico</t>
        </is>
      </c>
      <c r="D59" s="48" t="inlineStr">
        <is>
          <t>Pendiente</t>
        </is>
      </c>
    </row>
    <row r="60" ht="15" customHeight="1" s="43">
      <c r="A60" s="54" t="n">
        <v>52</v>
      </c>
      <c r="B60" s="54" t="inlineStr">
        <is>
          <t>Anotar codigos de error activos y codigos en memoria (pendientes/borrados recientemente)</t>
        </is>
      </c>
      <c r="C60" s="74" t="inlineStr">
        <is>
          <t>Critico</t>
        </is>
      </c>
      <c r="D60" s="55" t="inlineStr">
        <is>
          <t>Pendiente</t>
        </is>
      </c>
      <c r="E60" s="56" t="n"/>
    </row>
    <row r="61" ht="15" customHeight="1" s="43">
      <c r="A61" s="47" t="n">
        <v>53</v>
      </c>
      <c r="B61" s="47" t="inlineStr">
        <is>
          <t>Verificar si hay testigos apagados manualmente pero con fallo registrado en memoria (senial de manipulacion)</t>
        </is>
      </c>
      <c r="C61" s="73" t="inlineStr">
        <is>
          <t>Critico</t>
        </is>
      </c>
      <c r="D61" s="48" t="inlineStr">
        <is>
          <t>Pendiente</t>
        </is>
      </c>
    </row>
    <row r="62" ht="15" customHeight="1" s="43">
      <c r="A62" s="54" t="n">
        <v>54</v>
      </c>
      <c r="B62" s="54" t="inlineStr">
        <is>
          <t>Leer kilometraje real desde la ECU/cuadro y contrastar con el kilometraje mostrado y el historico de servicios</t>
        </is>
      </c>
      <c r="C62" s="74" t="inlineStr">
        <is>
          <t>Critico</t>
        </is>
      </c>
      <c r="D62" s="55" t="inlineStr">
        <is>
          <t>Pendiente</t>
        </is>
      </c>
      <c r="E62" s="56" t="n"/>
    </row>
    <row r="63" ht="15" customHeight="1" s="43">
      <c r="A63" s="47" t="n">
        <v>55</v>
      </c>
      <c r="B63" s="47" t="inlineStr">
        <is>
          <t>Comprobar readiness/monitores de emisiones (relevante para la ITV de importacion)</t>
        </is>
      </c>
      <c r="C63" s="47" t="inlineStr">
        <is>
          <t>Importante</t>
        </is>
      </c>
      <c r="D63" s="48" t="inlineStr">
        <is>
          <t>Pendiente</t>
        </is>
      </c>
    </row>
    <row r="64" ht="15" customHeight="1" s="43">
      <c r="A64" s="54" t="n">
        <v>56</v>
      </c>
      <c r="B64" s="54" t="inlineStr">
        <is>
          <t>Verificar funcionamiento de sensores de aparcamiento y camara trasera si equipado</t>
        </is>
      </c>
      <c r="C64" s="54" t="inlineStr">
        <is>
          <t>Menor</t>
        </is>
      </c>
      <c r="D64" s="55" t="inlineStr">
        <is>
          <t>Pendiente</t>
        </is>
      </c>
      <c r="E64" s="56" t="n"/>
    </row>
    <row r="65" ht="15" customHeight="1" s="43">
      <c r="A65" s="47" t="n">
        <v>57</v>
      </c>
      <c r="B65" s="47" t="inlineStr">
        <is>
          <t>Comprobar sistema de frenada de emergencia / asistente (test funcional si es posible)</t>
        </is>
      </c>
      <c r="C65" s="47" t="inlineStr">
        <is>
          <t>Importante</t>
        </is>
      </c>
      <c r="D65" s="48" t="inlineStr">
        <is>
          <t>Pendiente</t>
        </is>
      </c>
    </row>
    <row r="66" ht="15" customHeight="1" s="43">
      <c r="A66" s="54" t="n">
        <v>58</v>
      </c>
      <c r="B66" s="54" t="inlineStr">
        <is>
          <t>Verificar campanias de recall pendientes o actualizaciones de software con el VIN en la web del fabricante</t>
        </is>
      </c>
      <c r="C66" s="54" t="inlineStr">
        <is>
          <t>Importante</t>
        </is>
      </c>
      <c r="D66" s="55" t="inlineStr">
        <is>
          <t>Pendiente</t>
        </is>
      </c>
      <c r="E66" s="56" t="n"/>
    </row>
    <row r="67" ht="15" customHeight="1" s="43">
      <c r="A67" s="47" t="n">
        <v>59</v>
      </c>
      <c r="B67" s="47" t="inlineStr">
        <is>
          <t>Guardar/foto del informe de diagnosis como respaldo documental de la compra</t>
        </is>
      </c>
      <c r="C67" s="47" t="inlineStr">
        <is>
          <t>Importante</t>
        </is>
      </c>
      <c r="D67" s="48" t="inlineStr">
        <is>
          <t>Pendiente</t>
        </is>
      </c>
    </row>
    <row r="68" ht="15" customHeight="1" s="43">
      <c r="A68" s="71" t="n"/>
      <c r="B68" s="72" t="inlineStr">
        <is>
          <t>PRUEBA DE CARRETERA</t>
        </is>
      </c>
      <c r="C68" s="71" t="n"/>
      <c r="D68" s="71" t="n"/>
      <c r="E68" s="71" t="n"/>
    </row>
    <row r="69" ht="15" customHeight="1" s="43">
      <c r="A69" s="54" t="n">
        <v>60</v>
      </c>
      <c r="B69" s="54" t="inlineStr">
        <is>
          <t>Arranque en frio y ralenti estable durante 1-2 minutos antes de salir</t>
        </is>
      </c>
      <c r="C69" s="54" t="inlineStr">
        <is>
          <t>Importante</t>
        </is>
      </c>
      <c r="D69" s="55" t="inlineStr">
        <is>
          <t>Pendiente</t>
        </is>
      </c>
      <c r="E69" s="56" t="n"/>
    </row>
    <row r="70" ht="15" customHeight="1" s="43">
      <c r="A70" s="47" t="n">
        <v>61</v>
      </c>
      <c r="B70" s="47" t="inlineStr">
        <is>
          <t>Aceleracion progresiva: sin tirones, sin perdida de potencia, turbo entra con normalidad si aplica</t>
        </is>
      </c>
      <c r="C70" s="73" t="inlineStr">
        <is>
          <t>Critico</t>
        </is>
      </c>
      <c r="D70" s="48" t="inlineStr">
        <is>
          <t>Pendiente</t>
        </is>
      </c>
    </row>
    <row r="71" ht="15" customHeight="1" s="43">
      <c r="A71" s="54" t="n">
        <v>62</v>
      </c>
      <c r="B71" s="54" t="inlineStr">
        <is>
          <t>Frenada en recto: el coche no se desvia, sin vibracion en el pedal ni el volante</t>
        </is>
      </c>
      <c r="C71" s="74" t="inlineStr">
        <is>
          <t>Critico</t>
        </is>
      </c>
      <c r="D71" s="55" t="inlineStr">
        <is>
          <t>Pendiente</t>
        </is>
      </c>
      <c r="E71" s="56" t="n"/>
    </row>
    <row r="72" ht="15" customHeight="1" s="43">
      <c r="A72" s="47" t="n">
        <v>63</v>
      </c>
      <c r="B72" s="47" t="inlineStr">
        <is>
          <t>Direccion centrada en recta, sin necesidad de corregir constantemente</t>
        </is>
      </c>
      <c r="C72" s="73" t="inlineStr">
        <is>
          <t>Critico</t>
        </is>
      </c>
      <c r="D72" s="48" t="inlineStr">
        <is>
          <t>Pendiente</t>
        </is>
      </c>
    </row>
    <row r="73" ht="15" customHeight="1" s="43">
      <c r="A73" s="54" t="n">
        <v>64</v>
      </c>
      <c r="B73" s="54" t="inlineStr">
        <is>
          <t>Cambios en modo automatico y manual (+/-): rapidez y suavidad</t>
        </is>
      </c>
      <c r="C73" s="54" t="inlineStr">
        <is>
          <t>Importante</t>
        </is>
      </c>
      <c r="D73" s="55" t="inlineStr">
        <is>
          <t>Pendiente</t>
        </is>
      </c>
      <c r="E73" s="56" t="n"/>
    </row>
    <row r="74" ht="15" customHeight="1" s="43">
      <c r="A74" s="47" t="n">
        <v>65</v>
      </c>
      <c r="B74" s="47" t="inlineStr">
        <is>
          <t>Ruidos de suspension al tomar badenes o baches a baja velocidad</t>
        </is>
      </c>
      <c r="C74" s="47" t="inlineStr">
        <is>
          <t>Importante</t>
        </is>
      </c>
      <c r="D74" s="48" t="inlineStr">
        <is>
          <t>Pendiente</t>
        </is>
      </c>
    </row>
    <row r="75" ht="15" customHeight="1" s="43">
      <c r="A75" s="54" t="n">
        <v>66</v>
      </c>
      <c r="B75" s="54" t="inlineStr">
        <is>
          <t>Ruidos de rodamientos/homocineticas al girar a tope de direccion</t>
        </is>
      </c>
      <c r="C75" s="54" t="inlineStr">
        <is>
          <t>Importante</t>
        </is>
      </c>
      <c r="D75" s="55" t="inlineStr">
        <is>
          <t>Pendiente</t>
        </is>
      </c>
      <c r="E75" s="56" t="n"/>
    </row>
    <row r="76" ht="15" customHeight="1" s="43">
      <c r="A76" s="47" t="n">
        <v>67</v>
      </c>
      <c r="B76" s="47" t="inlineStr">
        <is>
          <t>Comportamiento en autovia a velocidad de crucero: vibraciones, ruido de viento excesivo</t>
        </is>
      </c>
      <c r="C76" s="47" t="inlineStr">
        <is>
          <t>Menor</t>
        </is>
      </c>
      <c r="D76" s="48" t="inlineStr">
        <is>
          <t>Pendiente</t>
        </is>
      </c>
    </row>
    <row r="77" ht="15" customHeight="1" s="43">
      <c r="A77" s="54" t="n">
        <v>68</v>
      </c>
      <c r="B77" s="54" t="inlineStr">
        <is>
          <t>Test del auto-hold y freno de mano electrico si equipado</t>
        </is>
      </c>
      <c r="C77" s="54" t="inlineStr">
        <is>
          <t>Menor</t>
        </is>
      </c>
      <c r="D77" s="55" t="inlineStr">
        <is>
          <t>Pendiente</t>
        </is>
      </c>
      <c r="E77" s="56" t="n"/>
    </row>
    <row r="78" ht="15" customHeight="1" s="43">
      <c r="A78" s="47" t="n">
        <v>69</v>
      </c>
      <c r="B78" s="47" t="inlineStr">
        <is>
          <t>Frenada de emergencia a baja velocidad en zona segura: ABS/ESP activan correctamente</t>
        </is>
      </c>
      <c r="C78" s="73" t="inlineStr">
        <is>
          <t>Critico</t>
        </is>
      </c>
      <c r="D78" s="48" t="inlineStr">
        <is>
          <t>Pendiente</t>
        </is>
      </c>
    </row>
    <row r="79" ht="15" customHeight="1" s="43">
      <c r="A79" s="71" t="n"/>
      <c r="B79" s="72" t="inlineStr">
        <is>
          <t>NEGOCIACION Y CIERRE</t>
        </is>
      </c>
      <c r="C79" s="71" t="n"/>
      <c r="D79" s="71" t="n"/>
      <c r="E79" s="71" t="n"/>
    </row>
    <row r="80" ht="15" customHeight="1" s="43">
      <c r="A80" s="54" t="n">
        <v>70</v>
      </c>
      <c r="B80" s="54" t="inlineStr">
        <is>
          <t>Vehiculo declarado libre de accidentes ("Unfallfrei" o equivalente) de forma explicita y por escrito</t>
        </is>
      </c>
      <c r="C80" s="74" t="inlineStr">
        <is>
          <t>Critico</t>
        </is>
      </c>
      <c r="D80" s="55" t="inlineStr">
        <is>
          <t>Pendiente</t>
        </is>
      </c>
      <c r="E80" s="56" t="n"/>
    </row>
    <row r="81" ht="15" customHeight="1" s="43">
      <c r="A81" s="47" t="n">
        <v>71</v>
      </c>
      <c r="B81" s="47" t="inlineStr">
        <is>
          <t>Contrato de compraventa revisado y traducido antes de firmar</t>
        </is>
      </c>
      <c r="C81" s="73" t="inlineStr">
        <is>
          <t>Critico</t>
        </is>
      </c>
      <c r="D81" s="48" t="inlineStr">
        <is>
          <t>Pendiente</t>
        </is>
      </c>
    </row>
    <row r="82" ht="15" customHeight="1" s="43">
      <c r="A82" s="54" t="n">
        <v>72</v>
      </c>
      <c r="B82" s="54" t="inlineStr">
        <is>
          <t>Descuento negociado sobre el precio de partida (ver pestania 'Plantillas de mensaje')</t>
        </is>
      </c>
      <c r="C82" s="54" t="inlineStr">
        <is>
          <t>Importante</t>
        </is>
      </c>
      <c r="D82" s="55" t="inlineStr">
        <is>
          <t>Pendiente</t>
        </is>
      </c>
      <c r="E82" s="56" t="n"/>
    </row>
    <row r="83" ht="15" customHeight="1" s="43">
      <c r="A83" s="47" t="n">
        <v>73</v>
      </c>
      <c r="B83" s="47" t="inlineStr">
        <is>
          <t>Limite de transferencia bancaria ampliado si se paga por transferencia instantanea</t>
        </is>
      </c>
      <c r="C83" s="47" t="inlineStr">
        <is>
          <t>Importante</t>
        </is>
      </c>
      <c r="D83" s="48" t="inlineStr">
        <is>
          <t>Pendiente</t>
        </is>
      </c>
    </row>
    <row r="84" ht="15" customHeight="1" s="43">
      <c r="A84" s="54" t="n">
        <v>74</v>
      </c>
      <c r="B84" s="54" t="inlineStr">
        <is>
          <t>Tipo de interes del prestamo negociado en oficina, no solo por la app (si aplica financiacion)</t>
        </is>
      </c>
      <c r="C84" s="54" t="inlineStr">
        <is>
          <t>Importante</t>
        </is>
      </c>
      <c r="D84" s="55" t="inlineStr">
        <is>
          <t>Pendiente</t>
        </is>
      </c>
      <c r="E84" s="56" t="n"/>
    </row>
    <row r="85" ht="15" customHeight="1" s="43">
      <c r="A85" s="47" t="n">
        <v>75</v>
      </c>
      <c r="B85" s="47" t="inlineStr">
        <is>
          <t>Plan B de vendedor/concesionario alternativo localizado por si la operacion no se cierra</t>
        </is>
      </c>
      <c r="C85" s="47" t="inlineStr">
        <is>
          <t>Menor</t>
        </is>
      </c>
      <c r="D85" s="48" t="inlineStr">
        <is>
          <t>Pendiente</t>
        </is>
      </c>
    </row>
    <row r="86" ht="15" customHeight="1" s="43">
      <c r="A86" s="54" t="n">
        <v>76</v>
      </c>
      <c r="B86" s="54" t="inlineStr">
        <is>
          <t>Derecho de desistimiento del prestamo verificado: plazo legal (normalmente 14 dias naturales en la UE)</t>
        </is>
      </c>
      <c r="C86" s="54" t="inlineStr">
        <is>
          <t>Importante</t>
        </is>
      </c>
      <c r="D86" s="55" t="inlineStr">
        <is>
          <t>Pendiente</t>
        </is>
      </c>
      <c r="E86" s="56" t="n"/>
    </row>
    <row r="88" ht="17.25" customHeight="1" s="43">
      <c r="A88" s="44" t="inlineStr">
        <is>
          <t>Resumen</t>
        </is>
      </c>
    </row>
    <row r="89" ht="15" customHeight="1" s="43">
      <c r="B89" s="47" t="inlineStr">
        <is>
          <t>Puntos OK</t>
        </is>
      </c>
      <c r="C89" s="47">
        <f>COUNTIF(C5:C86,"OK")</f>
        <v/>
      </c>
    </row>
    <row r="90" ht="15" customHeight="1" s="43">
      <c r="B90" s="47" t="inlineStr">
        <is>
          <t>Puntos a revisar</t>
        </is>
      </c>
      <c r="C90" s="73">
        <f>COUNTIF(C5:C86,"Revisar")</f>
        <v/>
      </c>
    </row>
    <row r="91" ht="15" customHeight="1" s="43">
      <c r="B91" s="47" t="inlineStr">
        <is>
          <t>Puntos pendientes</t>
        </is>
      </c>
      <c r="C91" s="47">
        <f>COUNTIF(C5:C86,"Pendiente")</f>
        <v/>
      </c>
    </row>
    <row r="92" ht="15" customHeight="1" s="43">
      <c r="B92" s="47" t="inlineStr">
        <is>
          <t>Total puntos revisados</t>
        </is>
      </c>
      <c r="C92" s="47">
        <f>76</f>
        <v/>
      </c>
    </row>
    <row r="94" ht="15" customHeight="1" s="43">
      <c r="A94" s="53" t="inlineStr">
        <is>
          <t>Estado: escribe OK / Revisar / Pendiente / No aplica en la columna Estado. Prioridad Critico = hallazgo potencialmente bloqueante para la compra.</t>
        </is>
      </c>
    </row>
  </sheetData>
  <conditionalFormatting sqref="D6:D200">
    <cfRule type="cellIs" rank="0" priority="2" equalAverage="0" operator="equal" aboveAverage="0" dxfId="1" text="" percent="0" bottom="0">
      <formula>"OK"</formula>
    </cfRule>
    <cfRule type="cellIs" rank="0" priority="3" equalAverage="0" operator="equal" aboveAverage="0" dxfId="0" text="" percent="0" bottom="0">
      <formula>"Revisar"</formula>
    </cfRule>
    <cfRule type="cellIs" rank="0" priority="4" equalAverage="0" operator="equal" aboveAverage="0" dxfId="2" text="" percent="0" bottom="0">
      <formula>"Pendiente"</formula>
    </cfRule>
  </conditionalFormatting>
  <conditionalFormatting sqref="C6:C200">
    <cfRule type="cellIs" rank="0" priority="5" equalAverage="0" operator="equal" aboveAverage="0" dxfId="3" text="" percent="0" bottom="0">
      <formula>"Critico"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tabColor rgb="FFE8590C"/>
    <outlinePr summaryBelow="1" summaryRight="1"/>
    <pageSetUpPr fitToPage="0"/>
  </sheetPr>
  <dimension ref="A1:E3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42" min="1" max="1"/>
    <col width="52" customWidth="1" style="42" min="2" max="2"/>
    <col width="14" customWidth="1" style="42" min="3" max="3"/>
    <col width="40" customWidth="1" style="42" min="4" max="4"/>
    <col width="20" customWidth="1" style="42" min="5" max="5"/>
  </cols>
  <sheetData>
    <row r="1" ht="17.25" customHeight="1" s="43">
      <c r="A1" s="44" t="inlineStr">
        <is>
          <t>Checklist de documentacion para importar</t>
        </is>
      </c>
    </row>
    <row r="2" ht="15" customHeight="1" s="43">
      <c r="A2" s="45" t="inlineStr">
        <is>
          <t>Documentos a solicitar/reunir antes y durante la compra, y pasos legales tras la llegada a Espania.</t>
        </is>
      </c>
    </row>
    <row r="4" ht="15" customHeight="1" s="43">
      <c r="A4" s="51" t="inlineStr">
        <is>
          <t>DOCUMENTOS A REUNIR</t>
        </is>
      </c>
    </row>
    <row r="5" ht="15" customHeight="1" s="43">
      <c r="A5" s="52" t="inlineStr">
        <is>
          <t>#</t>
        </is>
      </c>
      <c r="B5" s="52" t="inlineStr">
        <is>
          <t>Documento</t>
        </is>
      </c>
      <c r="C5" s="52" t="inlineStr">
        <is>
          <t>Recibido</t>
        </is>
      </c>
      <c r="D5" s="52" t="inlineStr">
        <is>
          <t>Notas</t>
        </is>
      </c>
    </row>
    <row r="6" ht="15" customHeight="1" s="43">
      <c r="A6" s="47" t="n">
        <v>1</v>
      </c>
      <c r="B6" s="47" t="inlineStr">
        <is>
          <t>Zulassungsbescheinigung Teil I (permiso de circulacion) o equivalente del pais de origen</t>
        </is>
      </c>
      <c r="C6" s="48" t="inlineStr">
        <is>
          <t>No</t>
        </is>
      </c>
    </row>
    <row r="7" ht="15" customHeight="1" s="43">
      <c r="A7" s="54" t="n">
        <v>2</v>
      </c>
      <c r="B7" s="54" t="inlineStr">
        <is>
          <t>Zulassungsbescheinigung Teil II (ficha tecnica / tarjeta del vehiculo) o equivalente</t>
        </is>
      </c>
      <c r="C7" s="55" t="inlineStr">
        <is>
          <t>No</t>
        </is>
      </c>
      <c r="D7" s="56" t="n"/>
    </row>
    <row r="8" ht="15" customHeight="1" s="43">
      <c r="A8" s="47" t="n">
        <v>3</v>
      </c>
      <c r="B8" s="47" t="inlineStr">
        <is>
          <t>COC - Certificate of Conformity</t>
        </is>
      </c>
      <c r="C8" s="48" t="inlineStr">
        <is>
          <t>No</t>
        </is>
      </c>
    </row>
    <row r="9" ht="15" customHeight="1" s="43">
      <c r="A9" s="54" t="n">
        <v>4</v>
      </c>
      <c r="B9" s="54" t="inlineStr">
        <is>
          <t>Ultimo informe de ITV/inspeccion tecnica del pais de origen (ej. TUV/HU en Alemania)</t>
        </is>
      </c>
      <c r="C9" s="55" t="inlineStr">
        <is>
          <t>No</t>
        </is>
      </c>
      <c r="D9" s="56" t="n"/>
    </row>
    <row r="10" ht="15" customHeight="1" s="43">
      <c r="A10" s="47" t="n">
        <v>5</v>
      </c>
      <c r="B10" s="47" t="inlineStr">
        <is>
          <t>VIN (numero de bastidor) verificado</t>
        </is>
      </c>
      <c r="C10" s="48" t="inlineStr">
        <is>
          <t>No</t>
        </is>
      </c>
    </row>
    <row r="11" ht="15" customHeight="1" s="43">
      <c r="A11" s="54" t="n">
        <v>6</v>
      </c>
      <c r="B11" s="54" t="inlineStr">
        <is>
          <t>Historial de mantenimiento (digital o libro sellado)</t>
        </is>
      </c>
      <c r="C11" s="55" t="inlineStr">
        <is>
          <t>No</t>
        </is>
      </c>
      <c r="D11" s="56" t="n"/>
    </row>
    <row r="12" ht="15" customHeight="1" s="43">
      <c r="A12" s="47" t="n">
        <v>7</v>
      </c>
      <c r="B12" s="47" t="inlineStr">
        <is>
          <t>Contrato de compraventa revisado y traducido</t>
        </is>
      </c>
      <c r="C12" s="48" t="inlineStr">
        <is>
          <t>No</t>
        </is>
      </c>
    </row>
    <row r="13" ht="15" customHeight="1" s="43">
      <c r="A13" s="54" t="n">
        <v>8</v>
      </c>
      <c r="B13" s="54" t="inlineStr">
        <is>
          <t>Factura de compra</t>
        </is>
      </c>
      <c r="C13" s="55" t="inlineStr">
        <is>
          <t>No</t>
        </is>
      </c>
      <c r="D13" s="56" t="n"/>
    </row>
    <row r="14" ht="15" customHeight="1" s="43">
      <c r="A14" s="47" t="n">
        <v>9</v>
      </c>
      <c r="B14" s="47" t="inlineStr">
        <is>
          <t>Declaracion de libre de accidentes (por escrito)</t>
        </is>
      </c>
      <c r="C14" s="48" t="inlineStr">
        <is>
          <t>No</t>
        </is>
      </c>
    </row>
    <row r="15" ht="15" customHeight="1" s="43">
      <c r="A15" s="54" t="n">
        <v>10</v>
      </c>
      <c r="B15" s="54" t="inlineStr">
        <is>
          <t>Placas temporales / matricula de transito + seguro temporal</t>
        </is>
      </c>
      <c r="C15" s="55" t="inlineStr">
        <is>
          <t>No</t>
        </is>
      </c>
      <c r="D15" s="56" t="n"/>
    </row>
    <row r="16" ht="15" customHeight="1" s="43">
      <c r="A16" s="47" t="n">
        <v>11</v>
      </c>
      <c r="B16" s="47" t="inlineStr">
        <is>
          <t>Justificante de pago (transferencia)</t>
        </is>
      </c>
      <c r="C16" s="48" t="inlineStr">
        <is>
          <t>No</t>
        </is>
      </c>
    </row>
    <row r="17" ht="15" customHeight="1" s="43">
      <c r="A17" s="54" t="n">
        <v>12</v>
      </c>
      <c r="B17" s="54" t="inlineStr">
        <is>
          <t>Solicitud de ITV espaniola de importacion</t>
        </is>
      </c>
      <c r="C17" s="55" t="inlineStr">
        <is>
          <t>No</t>
        </is>
      </c>
      <c r="D17" s="56" t="n"/>
    </row>
    <row r="18" ht="15" customHeight="1" s="43">
      <c r="A18" s="47" t="n">
        <v>13</v>
      </c>
      <c r="B18" s="47" t="inlineStr">
        <is>
          <t>Modelo 576 (Autoliquidacion IEDMT)</t>
        </is>
      </c>
      <c r="C18" s="48" t="inlineStr">
        <is>
          <t>No</t>
        </is>
      </c>
    </row>
    <row r="19" ht="15" customHeight="1" s="43">
      <c r="A19" s="54" t="n">
        <v>14</v>
      </c>
      <c r="B19" s="54" t="inlineStr">
        <is>
          <t>Certificado de matriculacion espaniola (permanente)</t>
        </is>
      </c>
      <c r="C19" s="55" t="inlineStr">
        <is>
          <t>No</t>
        </is>
      </c>
      <c r="D19" s="56" t="n"/>
    </row>
    <row r="20" ht="15" customHeight="1" s="43">
      <c r="A20" s="47" t="n">
        <v>15</v>
      </c>
      <c r="B20" s="47" t="inlineStr">
        <is>
          <t>Poliza de seguro espaniola activa antes de circular con matricula definitiva</t>
        </is>
      </c>
      <c r="C20" s="48" t="inlineStr">
        <is>
          <t>No</t>
        </is>
      </c>
    </row>
    <row r="22" ht="15" customHeight="1" s="43">
      <c r="A22" s="51" t="inlineStr">
        <is>
          <t>PASOS TRAS LA LLEGADA A ESPANIA (PLAZOS LEGALES)</t>
        </is>
      </c>
    </row>
    <row r="23" ht="15" customHeight="1" s="43">
      <c r="A23" s="53" t="inlineStr">
        <is>
          <t>Plazo legal general: 30 dias naturales desde la entrada en Espania para completar homologacion e impuestos. Confirmar plazo vigente con gestoria.</t>
        </is>
      </c>
    </row>
    <row r="24" ht="23.25" customHeight="1" s="43">
      <c r="A24" s="52" t="inlineStr">
        <is>
          <t>#</t>
        </is>
      </c>
      <c r="B24" s="52" t="inlineStr">
        <is>
          <t>Paso</t>
        </is>
      </c>
      <c r="C24" s="52" t="inlineStr">
        <is>
          <t>Plazo orientativo</t>
        </is>
      </c>
      <c r="D24" s="52" t="inlineStr">
        <is>
          <t>Hecho</t>
        </is>
      </c>
      <c r="E24" s="52" t="inlineStr">
        <is>
          <t>Notas</t>
        </is>
      </c>
    </row>
    <row r="25" ht="15" customHeight="1" s="43">
      <c r="A25" s="47" t="n">
        <v>1</v>
      </c>
      <c r="B25" s="47" t="inlineStr">
        <is>
          <t>Solicitar cita para ITV de vehiculos importados</t>
        </is>
      </c>
      <c r="C25" s="47" t="inlineStr">
        <is>
          <t>Cuanto antes tras llegar</t>
        </is>
      </c>
      <c r="D25" s="48" t="inlineStr">
        <is>
          <t>No</t>
        </is>
      </c>
    </row>
    <row r="26" ht="15" customHeight="1" s="43">
      <c r="A26" s="54" t="n">
        <v>2</v>
      </c>
      <c r="B26" s="54" t="inlineStr">
        <is>
          <t>Pasar la ITV de importacion</t>
        </is>
      </c>
      <c r="C26" s="54" t="inlineStr">
        <is>
          <t>Dentro de los 30 dias</t>
        </is>
      </c>
      <c r="D26" s="55" t="inlineStr">
        <is>
          <t>No</t>
        </is>
      </c>
      <c r="E26" s="56" t="n"/>
    </row>
    <row r="27" ht="15" customHeight="1" s="43">
      <c r="A27" s="47" t="n">
        <v>3</v>
      </c>
      <c r="B27" s="47" t="inlineStr">
        <is>
          <t>Presentar Modelo 576 (autoliquidacion IEDMT) en Hacienda</t>
        </is>
      </c>
      <c r="C27" s="47" t="inlineStr">
        <is>
          <t>Dentro de los 30 dias</t>
        </is>
      </c>
      <c r="D27" s="48" t="inlineStr">
        <is>
          <t>No</t>
        </is>
      </c>
    </row>
    <row r="28" ht="15" customHeight="1" s="43">
      <c r="A28" s="54" t="n">
        <v>4</v>
      </c>
      <c r="B28" s="54" t="inlineStr">
        <is>
          <t>Solicitar matriculacion definitiva en la DGT</t>
        </is>
      </c>
      <c r="C28" s="54" t="inlineStr">
        <is>
          <t>Dentro de los 30 dias</t>
        </is>
      </c>
      <c r="D28" s="55" t="inlineStr">
        <is>
          <t>No</t>
        </is>
      </c>
      <c r="E28" s="56" t="n"/>
    </row>
    <row r="29" ht="15" customHeight="1" s="43">
      <c r="A29" s="47" t="n">
        <v>5</v>
      </c>
      <c r="B29" s="47" t="inlineStr">
        <is>
          <t>Contratar seguro espaniol antes de circular con matricula definitiva</t>
        </is>
      </c>
      <c r="C29" s="47" t="inlineStr">
        <is>
          <t>Antes de retirar placas temporales</t>
        </is>
      </c>
      <c r="D29" s="48" t="inlineStr">
        <is>
          <t>No</t>
        </is>
      </c>
    </row>
    <row r="30" ht="15" customHeight="1" s="43">
      <c r="A30" s="54" t="n">
        <v>6</v>
      </c>
      <c r="B30" s="54" t="inlineStr">
        <is>
          <t>Colocar placas espaniolas definitivas</t>
        </is>
      </c>
      <c r="C30" s="54" t="inlineStr">
        <is>
          <t>Tras recibir permiso de circulacion</t>
        </is>
      </c>
      <c r="D30" s="55" t="inlineStr">
        <is>
          <t>No</t>
        </is>
      </c>
      <c r="E30" s="56" t="n"/>
    </row>
    <row r="31" ht="15" customHeight="1" s="43">
      <c r="A31" s="47" t="n">
        <v>7</v>
      </c>
      <c r="B31" s="47" t="inlineStr">
        <is>
          <t>Solicitar distintivo ambiental DGT (si aplica)</t>
        </is>
      </c>
      <c r="C31" s="47" t="inlineStr">
        <is>
          <t>Tras matriculacion</t>
        </is>
      </c>
      <c r="D31" s="48" t="inlineStr">
        <is>
          <t>No</t>
        </is>
      </c>
    </row>
    <row r="32" ht="15" customHeight="1" s="43">
      <c r="A32" s="54" t="n">
        <v>8</v>
      </c>
      <c r="B32" s="54" t="inlineStr">
        <is>
          <t>Dar de baja el seguro y placas temporales de origen</t>
        </is>
      </c>
      <c r="C32" s="54" t="inlineStr">
        <is>
          <t>Tras matriculacion definitiva</t>
        </is>
      </c>
      <c r="D32" s="55" t="inlineStr">
        <is>
          <t>No</t>
        </is>
      </c>
      <c r="E32" s="56" t="n"/>
    </row>
  </sheetData>
  <mergeCells count="2">
    <mergeCell ref="A22:E22"/>
    <mergeCell ref="A4:D4"/>
  </mergeCells>
  <conditionalFormatting sqref="C6:C200">
    <cfRule type="cellIs" rank="0" priority="2" equalAverage="0" operator="equal" aboveAverage="0" dxfId="1" text="" percent="0" bottom="0">
      <formula>"Si"</formula>
    </cfRule>
    <cfRule type="cellIs" rank="0" priority="3" equalAverage="0" operator="equal" aboveAverage="0" dxfId="4" text="" percent="0" bottom="0">
      <formula>"No"</formula>
    </cfRule>
  </conditionalFormatting>
  <conditionalFormatting sqref="D6:D200">
    <cfRule type="cellIs" rank="0" priority="4" equalAverage="0" operator="equal" aboveAverage="0" dxfId="1" text="" percent="0" bottom="0">
      <formula>"Si"</formula>
    </cfRule>
    <cfRule type="cellIs" rank="0" priority="5" equalAverage="0" operator="equal" aboveAverage="0" dxfId="4" text="" percent="0" bottom="0">
      <formula>"No"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2E7D32"/>
    <outlinePr summaryBelow="1" summaryRight="1"/>
    <pageSetUpPr fitToPage="0"/>
  </sheetPr>
  <dimension ref="A1:E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42" min="1" max="1"/>
    <col width="46" customWidth="1" style="42" min="2" max="2"/>
    <col width="14" customWidth="1" style="42" min="3" max="3"/>
    <col width="12" customWidth="1" style="42" min="4" max="4"/>
    <col width="34" customWidth="1" style="42" min="5" max="5"/>
  </cols>
  <sheetData>
    <row r="1" ht="17.25" customHeight="1" s="43">
      <c r="A1" s="44" t="inlineStr">
        <is>
          <t>Cronograma logistico de viaje (plantilla)</t>
        </is>
      </c>
    </row>
    <row r="2" ht="15" customHeight="1" s="43">
      <c r="A2" s="45" t="inlineStr">
        <is>
          <t>Plantilla de viaje reutilizable: ida, protocolo financiero, cierre, contingencia, vuelta y riesgos. Adaptar tramos, duraciones y costes a cada ruta / vendedor.</t>
        </is>
      </c>
    </row>
    <row r="4" ht="15" customHeight="1" s="43">
      <c r="A4" s="51" t="inlineStr">
        <is>
          <t>IDA</t>
        </is>
      </c>
    </row>
    <row r="5" ht="15" customHeight="1" s="43">
      <c r="A5" s="52" t="inlineStr">
        <is>
          <t>Dia</t>
        </is>
      </c>
      <c r="B5" s="52" t="inlineStr">
        <is>
          <t>Tramo / actividad</t>
        </is>
      </c>
      <c r="C5" s="52" t="inlineStr">
        <is>
          <t>Duracion</t>
        </is>
      </c>
      <c r="D5" s="52" t="inlineStr">
        <is>
          <t>Coste (EUR)</t>
        </is>
      </c>
      <c r="E5" s="52" t="inlineStr">
        <is>
          <t>Notas</t>
        </is>
      </c>
    </row>
    <row r="6" ht="15" customHeight="1" s="43">
      <c r="A6" s="47" t="inlineStr">
        <is>
          <t>Dia 1</t>
        </is>
      </c>
      <c r="B6" s="47" t="inlineStr">
        <is>
          <t>Trayecto casa -&gt; aeropuerto/estacion de salida</t>
        </is>
      </c>
      <c r="C6" s="47" t="inlineStr">
        <is>
          <t>~30-45 min</t>
        </is>
      </c>
      <c r="D6" s="48" t="n">
        <v>6</v>
      </c>
    </row>
    <row r="7" ht="15" customHeight="1" s="43">
      <c r="A7" s="54" t="inlineStr">
        <is>
          <t>Dia 1</t>
        </is>
      </c>
      <c r="B7" s="54" t="inlineStr">
        <is>
          <t>Vuelo/tren directo al pais de origen</t>
        </is>
      </c>
      <c r="C7" s="54" t="inlineStr">
        <is>
          <t>variable</t>
        </is>
      </c>
      <c r="D7" s="55" t="n">
        <v>150</v>
      </c>
      <c r="E7" s="57" t="inlineStr">
        <is>
          <t>Reservar con antelacion para mejor precio</t>
        </is>
      </c>
    </row>
    <row r="8" ht="15" customHeight="1" s="43">
      <c r="A8" s="47" t="inlineStr">
        <is>
          <t>Dia 1</t>
        </is>
      </c>
      <c r="B8" s="47" t="inlineStr">
        <is>
          <t>Tren/transporte local hacia la ciudad del vendedor</t>
        </is>
      </c>
      <c r="C8" s="47" t="inlineStr">
        <is>
          <t>variable</t>
        </is>
      </c>
      <c r="D8" s="48" t="n">
        <v>15</v>
      </c>
    </row>
    <row r="9" ht="15" customHeight="1" s="43">
      <c r="A9" s="54" t="inlineStr">
        <is>
          <t>Dia 1</t>
        </is>
      </c>
      <c r="B9" s="54" t="inlineStr">
        <is>
          <t>Tramo final hacia el concesionario/domicilio del vendedor</t>
        </is>
      </c>
      <c r="C9" s="54" t="inlineStr">
        <is>
          <t>variable</t>
        </is>
      </c>
      <c r="D9" s="55" t="n">
        <v>10</v>
      </c>
      <c r="E9" s="57" t="inlineStr">
        <is>
          <t>Coordinar recogida con el vendedor</t>
        </is>
      </c>
    </row>
    <row r="11" ht="15" customHeight="1" s="43">
      <c r="A11" s="51" t="inlineStr">
        <is>
          <t>PROTOCOLO FINANCIERO (si hay financiacion)</t>
        </is>
      </c>
    </row>
    <row r="12" ht="15" customHeight="1" s="43">
      <c r="A12" s="52" t="inlineStr">
        <is>
          <t>Cuando</t>
        </is>
      </c>
      <c r="B12" s="52" t="inlineStr">
        <is>
          <t>Accion</t>
        </is>
      </c>
      <c r="C12" s="52" t="inlineStr">
        <is>
          <t>Duracion</t>
        </is>
      </c>
      <c r="D12" s="52" t="inlineStr">
        <is>
          <t>Coste (EUR)</t>
        </is>
      </c>
      <c r="E12" s="52" t="inlineStr">
        <is>
          <t>Notas</t>
        </is>
      </c>
    </row>
    <row r="13" ht="15" customHeight="1" s="43">
      <c r="A13" s="47" t="inlineStr">
        <is>
          <t>Antes de viajar</t>
        </is>
      </c>
      <c r="B13" s="47" t="inlineStr">
        <is>
          <t>Gestion de financiacion en oficina bancaria (no por la app)</t>
        </is>
      </c>
      <c r="C13" s="47" t="inlineStr">
        <is>
          <t>1h</t>
        </is>
      </c>
      <c r="D13" s="48" t="n">
        <v>0</v>
      </c>
      <c r="E13" s="53" t="inlineStr">
        <is>
          <t>Negociar tipo de interes bajo en oficina; tipo app suele ser mas alto</t>
        </is>
      </c>
    </row>
    <row r="14" ht="15" customHeight="1" s="43">
      <c r="A14" s="54" t="inlineStr">
        <is>
          <t>Antes de viajar</t>
        </is>
      </c>
      <c r="B14" s="54" t="inlineStr">
        <is>
          <t>Preparar documentacion (nominas, contrato laboral, declaracion de la renta)</t>
        </is>
      </c>
      <c r="C14" s="54" t="n"/>
      <c r="D14" s="55" t="n">
        <v>0</v>
      </c>
      <c r="E14" s="57" t="inlineStr">
        <is>
          <t>Tenerla lista en PDF por si la piden durante la gestion</t>
        </is>
      </c>
    </row>
    <row r="15" ht="15" customHeight="1" s="43">
      <c r="A15" s="47" t="inlineStr">
        <is>
          <t>Antes de viajar</t>
        </is>
      </c>
      <c r="B15" s="47" t="inlineStr">
        <is>
          <t>Ampliar limite diario de transferencia si se va a pagar por transferencia instantanea</t>
        </is>
      </c>
      <c r="C15" s="47" t="n"/>
      <c r="D15" s="48" t="n">
        <v>0</v>
      </c>
      <c r="E15" s="53" t="inlineStr">
        <is>
          <t>Confirmar limite suficiente para el importe total</t>
        </is>
      </c>
    </row>
    <row r="16" ht="15" customHeight="1" s="43">
      <c r="A16" s="54" t="inlineStr">
        <is>
          <t>Antes del cierre</t>
        </is>
      </c>
      <c r="B16" s="54" t="inlineStr">
        <is>
          <t>Confirmar que el dinero esta disponible con margen antes del dia de la firma</t>
        </is>
      </c>
      <c r="C16" s="54" t="n"/>
      <c r="D16" s="55" t="n">
        <v>0</v>
      </c>
      <c r="E16" s="56" t="n"/>
    </row>
    <row r="18" ht="15" customHeight="1" s="43">
      <c r="A18" s="51" t="inlineStr">
        <is>
          <t>DIA DEL CIERRE</t>
        </is>
      </c>
    </row>
    <row r="19" ht="15" customHeight="1" s="43">
      <c r="A19" s="52" t="inlineStr">
        <is>
          <t>Dia</t>
        </is>
      </c>
      <c r="B19" s="52" t="inlineStr">
        <is>
          <t>Tramo / actividad</t>
        </is>
      </c>
      <c r="C19" s="52" t="inlineStr">
        <is>
          <t>Duracion</t>
        </is>
      </c>
      <c r="D19" s="52" t="inlineStr">
        <is>
          <t>Coste (EUR)</t>
        </is>
      </c>
      <c r="E19" s="52" t="inlineStr">
        <is>
          <t>Notas</t>
        </is>
      </c>
    </row>
    <row r="20" ht="15" customHeight="1" s="43">
      <c r="A20" s="47" t="inlineStr">
        <is>
          <t>Dia del cierre</t>
        </is>
      </c>
      <c r="B20" s="47" t="inlineStr">
        <is>
          <t>Inspeccion fisica + firma + pago</t>
        </is>
      </c>
      <c r="C20" s="47" t="inlineStr">
        <is>
          <t>2-3h</t>
        </is>
      </c>
      <c r="D20" s="48" t="n">
        <v>0</v>
      </c>
      <c r="E20" s="53" t="inlineStr">
        <is>
          <t>Usar checklist de inspeccion y documentacion</t>
        </is>
      </c>
    </row>
    <row r="21" ht="15" customHeight="1" s="43">
      <c r="A21" s="54" t="inlineStr">
        <is>
          <t>Dia del cierre</t>
        </is>
      </c>
      <c r="B21" s="54" t="inlineStr">
        <is>
          <t>Tramite de placas temporales + seguro temporal</t>
        </is>
      </c>
      <c r="C21" s="54" t="inlineStr">
        <is>
          <t>1-2h</t>
        </is>
      </c>
      <c r="D21" s="55" t="n">
        <v>175</v>
      </c>
      <c r="E21" s="57" t="inlineStr">
        <is>
          <t>Verificar horario de la oficina de matriculacion</t>
        </is>
      </c>
    </row>
    <row r="23" ht="15" customHeight="1" s="43">
      <c r="A23" s="51" t="inlineStr">
        <is>
          <t>VUELTA Y TRAS LA LLEGADA</t>
        </is>
      </c>
    </row>
    <row r="24" ht="15" customHeight="1" s="43">
      <c r="A24" s="52" t="inlineStr">
        <is>
          <t>Dia</t>
        </is>
      </c>
      <c r="B24" s="52" t="inlineStr">
        <is>
          <t>Tramo / actividad</t>
        </is>
      </c>
      <c r="C24" s="52" t="inlineStr">
        <is>
          <t>Duracion</t>
        </is>
      </c>
      <c r="D24" s="52" t="inlineStr">
        <is>
          <t>Coste (EUR)</t>
        </is>
      </c>
      <c r="E24" s="52" t="inlineStr">
        <is>
          <t>Notas</t>
        </is>
      </c>
    </row>
    <row r="25" ht="15" customHeight="1" s="43">
      <c r="A25" s="47" t="inlineStr">
        <is>
          <t>Dia de vuelta 1</t>
        </is>
      </c>
      <c r="B25" s="47" t="inlineStr">
        <is>
          <t>Conduccion hacia Espania (tramo 1)</t>
        </is>
      </c>
      <c r="C25" s="47" t="inlineStr">
        <is>
          <t>variable</t>
        </is>
      </c>
      <c r="D25" s="48" t="n">
        <v>100</v>
      </c>
      <c r="E25" s="53" t="inlineStr">
        <is>
          <t>Repostaje + peajes</t>
        </is>
      </c>
    </row>
    <row r="26" ht="15" customHeight="1" s="43">
      <c r="A26" s="54" t="inlineStr">
        <is>
          <t>Dia de vuelta 2</t>
        </is>
      </c>
      <c r="B26" s="54" t="inlineStr">
        <is>
          <t>Conduccion hacia Espania (tramo 2 / llegada)</t>
        </is>
      </c>
      <c r="C26" s="54" t="inlineStr">
        <is>
          <t>variable</t>
        </is>
      </c>
      <c r="D26" s="55" t="n">
        <v>100</v>
      </c>
      <c r="E26" s="57" t="inlineStr">
        <is>
          <t>Repostaje + peajes</t>
        </is>
      </c>
    </row>
    <row r="27" ht="15" customHeight="1" s="43">
      <c r="A27" s="47" t="inlineStr">
        <is>
          <t>Tras llegada</t>
        </is>
      </c>
      <c r="B27" s="47" t="inlineStr">
        <is>
          <t>ITV espaniola de importacion</t>
        </is>
      </c>
      <c r="C27" s="47" t="inlineStr">
        <is>
          <t>1 dia</t>
        </is>
      </c>
      <c r="D27" s="48" t="n">
        <v>125</v>
      </c>
    </row>
    <row r="28" ht="15" customHeight="1" s="43">
      <c r="A28" s="54" t="inlineStr">
        <is>
          <t>Tras llegada</t>
        </is>
      </c>
      <c r="B28" s="54" t="inlineStr">
        <is>
          <t>Autoliquidacion IEDMT + matriculacion DGT</t>
        </is>
      </c>
      <c r="C28" s="54" t="inlineStr">
        <is>
          <t>1-3 dias</t>
        </is>
      </c>
      <c r="D28" s="55" t="n">
        <v>55</v>
      </c>
      <c r="E28" s="57" t="inlineStr">
        <is>
          <t>Puede hacerse con o sin gestoria; ver checklist de documentacion</t>
        </is>
      </c>
    </row>
    <row r="30" ht="15" customHeight="1" s="43">
      <c r="A30" s="64" t="inlineStr">
        <is>
          <t>TOTAL LOGISTICA</t>
        </is>
      </c>
      <c r="B30" s="65" t="n"/>
      <c r="C30" s="65" t="n"/>
      <c r="D30" s="64">
        <f>SUM(D6:D9)+SUM(D20:D21)+SUM(D25:D28)</f>
        <v/>
      </c>
      <c r="E30" s="65" t="n"/>
    </row>
    <row r="32" ht="15" customHeight="1" s="43">
      <c r="A32" s="51" t="inlineStr">
        <is>
          <t>PLAN DE CONTINGENCIA</t>
        </is>
      </c>
    </row>
    <row r="33" ht="15" customHeight="1" s="43">
      <c r="A33" s="53" t="inlineStr">
        <is>
          <t>Desistimiento del prestamo (si aplica): revisar plazo legal de desistimiento sin coste (en la UE suele ser 14 dias naturales desde la firma del credito). Devuelve el capital integro; puede haber intereses devengados minimos de esos dias.</t>
        </is>
      </c>
    </row>
    <row r="35" ht="15" customHeight="1" s="43">
      <c r="A35" s="47" t="inlineStr">
        <is>
          <t>Plan B - portales/concesionarios alternativos (ejemplo, adaptar por pais):</t>
        </is>
      </c>
    </row>
    <row r="36" ht="15" customHeight="1" s="43">
      <c r="A36" s="52" t="inlineStr">
        <is>
          <t>Portal / canal</t>
        </is>
      </c>
      <c r="B36" s="52" t="inlineStr">
        <is>
          <t>Que ofrece</t>
        </is>
      </c>
      <c r="C36" s="52" t="n"/>
      <c r="D36" s="52" t="n"/>
      <c r="E36" s="52" t="n"/>
    </row>
    <row r="37" ht="15" customHeight="1" s="43">
      <c r="A37" s="48" t="inlineStr">
        <is>
          <t>Portal de concesionarios seleccionados (ej. Heycar)</t>
        </is>
      </c>
      <c r="B37" s="47" t="inlineStr">
        <is>
          <t>Stock garantizado, filtrado por antiguedad y km</t>
        </is>
      </c>
    </row>
    <row r="38" ht="15" customHeight="1" s="43">
      <c r="A38" s="55" t="inlineStr">
        <is>
          <t>Buscador oficial de la marca (Gebrauchtwagen del fabricante)</t>
        </is>
      </c>
      <c r="B38" s="54" t="inlineStr">
        <is>
          <t>Historial digital verificado por el fabricante</t>
        </is>
      </c>
      <c r="C38" s="56" t="n"/>
      <c r="D38" s="56" t="n"/>
      <c r="E38" s="56" t="n"/>
    </row>
    <row r="39" ht="15" customHeight="1" s="43">
      <c r="A39" s="48" t="inlineStr">
        <is>
          <t>Portal profesional generalista, filtro 'solo profesionales'</t>
        </is>
      </c>
      <c r="B39" s="47" t="inlineStr">
        <is>
          <t>Mayor volumen, exige filtrar por vendedor profesional</t>
        </is>
      </c>
    </row>
    <row r="41" ht="15" customHeight="1" s="43">
      <c r="A41" s="51" t="inlineStr">
        <is>
          <t>REGISTRO DE RIESGOS</t>
        </is>
      </c>
    </row>
    <row r="42" ht="15" customHeight="1" s="43">
      <c r="A42" s="52" t="inlineStr">
        <is>
          <t>Riesgo</t>
        </is>
      </c>
      <c r="B42" s="52" t="inlineStr">
        <is>
          <t>Probabilidad</t>
        </is>
      </c>
      <c r="C42" s="52" t="inlineStr">
        <is>
          <t>Impacto</t>
        </is>
      </c>
      <c r="D42" s="52" t="inlineStr">
        <is>
          <t>Mitigacion</t>
        </is>
      </c>
      <c r="E42" s="52" t="n"/>
    </row>
    <row r="43" ht="15" customHeight="1" s="43">
      <c r="A43" s="48" t="inlineStr">
        <is>
          <t>Golpe estructural oculto no visible en fotos</t>
        </is>
      </c>
      <c r="B43" s="48" t="inlineStr">
        <is>
          <t>Media</t>
        </is>
      </c>
      <c r="C43" s="48" t="inlineStr">
        <is>
          <t>Alto</t>
        </is>
      </c>
      <c r="D43" s="47" t="inlineStr">
        <is>
          <t>Inspeccion fisica exhaustiva + diagnosis OBD antes de firmar (ver checklist de inspeccion)</t>
        </is>
      </c>
    </row>
    <row r="44" ht="15" customHeight="1" s="43">
      <c r="A44" s="55" t="inlineStr">
        <is>
          <t>El vehiculo se vende a otro comprador antes de llegar</t>
        </is>
      </c>
      <c r="B44" s="55" t="inlineStr">
        <is>
          <t>Baja</t>
        </is>
      </c>
      <c r="C44" s="55" t="inlineStr">
        <is>
          <t>Alto</t>
        </is>
      </c>
      <c r="D44" s="54" t="inlineStr">
        <is>
          <t>Confirmar disponibilidad por escrito antes de viajar</t>
        </is>
      </c>
      <c r="E44" s="56" t="n"/>
    </row>
    <row r="45" ht="15" customHeight="1" s="43">
      <c r="A45" s="48" t="inlineStr">
        <is>
          <t>Tipo de interes del prestamo alto</t>
        </is>
      </c>
      <c r="B45" s="48" t="inlineStr">
        <is>
          <t>Media</t>
        </is>
      </c>
      <c r="C45" s="48" t="inlineStr">
        <is>
          <t>Medio</t>
        </is>
      </c>
      <c r="D45" s="47" t="inlineStr">
        <is>
          <t>Negociar en oficina bancaria, no tramitar solo por la app</t>
        </is>
      </c>
    </row>
    <row r="46" ht="15" customHeight="1" s="43">
      <c r="A46" s="55" t="inlineStr">
        <is>
          <t>CO2 real superior al declarado (IEDMT mayor de lo previsto)</t>
        </is>
      </c>
      <c r="B46" s="55" t="inlineStr">
        <is>
          <t>Baja</t>
        </is>
      </c>
      <c r="C46" s="55" t="inlineStr">
        <is>
          <t>Medio</t>
        </is>
      </c>
      <c r="D46" s="54" t="inlineStr">
        <is>
          <t>Confirmar CO2 exacto en el COC antes de firmar</t>
        </is>
      </c>
      <c r="E46" s="56" t="n"/>
    </row>
    <row r="47" ht="15" customHeight="1" s="43">
      <c r="A47" s="48" t="inlineStr">
        <is>
          <t>Oficina de matriculacion cerrada al llegar</t>
        </is>
      </c>
      <c r="B47" s="48" t="inlineStr">
        <is>
          <t>Media</t>
        </is>
      </c>
      <c r="C47" s="48" t="inlineStr">
        <is>
          <t>Bajo</t>
        </is>
      </c>
      <c r="D47" s="47" t="inlineStr">
        <is>
          <t>Coordinar horarios con el vendedor con antelacion</t>
        </is>
      </c>
    </row>
    <row r="48" ht="15" customHeight="1" s="43">
      <c r="A48" s="55" t="inlineStr">
        <is>
          <t>Reventa mas lenta de lo esperado (nicho sin comparables directos)</t>
        </is>
      </c>
      <c r="B48" s="55" t="inlineStr">
        <is>
          <t>Media</t>
        </is>
      </c>
      <c r="C48" s="55" t="inlineStr">
        <is>
          <t>Medio</t>
        </is>
      </c>
      <c r="D48" s="54" t="inlineStr">
        <is>
          <t>Argumentario de venta preparado (ver 'Plantillas de mensaje') y margen de precio con recorrido</t>
        </is>
      </c>
      <c r="E48" s="56" t="n"/>
    </row>
    <row r="49" ht="15" customHeight="1" s="43">
      <c r="A49" s="48" t="inlineStr">
        <is>
          <t>Vicios ocultos mecanicos tras la compra</t>
        </is>
      </c>
      <c r="B49" s="48" t="inlineStr">
        <is>
          <t>Baja</t>
        </is>
      </c>
      <c r="C49" s="48" t="inlineStr">
        <is>
          <t>Alto</t>
        </is>
      </c>
      <c r="D49" s="47" t="inlineStr">
        <is>
          <t>Historial de mantenimiento completo + garantia del concesionario si la ofrece</t>
        </is>
      </c>
    </row>
    <row r="50" ht="15" customHeight="1" s="43">
      <c r="A50" s="56" t="n"/>
      <c r="B50" s="56" t="n"/>
      <c r="C50" s="56" t="n"/>
      <c r="D50" s="56" t="n"/>
      <c r="E50" s="56" t="n"/>
    </row>
    <row r="52" ht="15" customHeight="1" s="43">
      <c r="A52" s="56" t="n"/>
      <c r="B52" s="56" t="n"/>
      <c r="C52" s="56" t="n"/>
      <c r="D52" s="56" t="n"/>
      <c r="E52" s="56" t="n"/>
    </row>
  </sheetData>
  <mergeCells count="7">
    <mergeCell ref="A4:E4"/>
    <mergeCell ref="A41:E41"/>
    <mergeCell ref="A33:E33"/>
    <mergeCell ref="A11:E11"/>
    <mergeCell ref="A23:E23"/>
    <mergeCell ref="A32:E32"/>
    <mergeCell ref="A18:E18"/>
  </mergeCells>
  <conditionalFormatting sqref="B43:B57">
    <cfRule type="cellIs" rank="0" priority="2" equalAverage="0" operator="equal" aboveAverage="0" dxfId="0" text="" percent="0" bottom="0">
      <formula>"Alta"</formula>
    </cfRule>
    <cfRule type="cellIs" rank="0" priority="3" equalAverage="0" operator="equal" aboveAverage="0" dxfId="3" text="" percent="0" bottom="0">
      <formula>"Media"</formula>
    </cfRule>
    <cfRule type="cellIs" rank="0" priority="4" equalAverage="0" operator="equal" aboveAverage="0" dxfId="1" text="" percent="0" bottom="0">
      <formula>"Baja"</formula>
    </cfRule>
  </conditionalFormatting>
  <conditionalFormatting sqref="C43:C57">
    <cfRule type="cellIs" rank="0" priority="5" equalAverage="0" operator="equal" aboveAverage="0" dxfId="0" text="" percent="0" bottom="0">
      <formula>"Alto"</formula>
    </cfRule>
    <cfRule type="cellIs" rank="0" priority="6" equalAverage="0" operator="equal" aboveAverage="0" dxfId="3" text="" percent="0" bottom="0">
      <formula>"Medio"</formula>
    </cfRule>
    <cfRule type="cellIs" rank="0" priority="7" equalAverage="0" operator="equal" aboveAverage="0" dxfId="1" text="" percent="0" bottom="0">
      <formula>"Bajo"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6A4C93"/>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6" customWidth="1" style="42" min="1" max="2"/>
    <col width="16" customWidth="1" style="42" min="3" max="3"/>
    <col width="24" customWidth="1" style="42" min="4" max="4"/>
    <col width="40" customWidth="1" style="42" min="5" max="5"/>
  </cols>
  <sheetData>
    <row r="1" ht="17.25" customHeight="1" s="43">
      <c r="A1" s="44" t="inlineStr">
        <is>
          <t>Contactos clave</t>
        </is>
      </c>
    </row>
    <row r="2" ht="15" customHeight="1" s="43">
      <c r="A2" s="45" t="inlineStr">
        <is>
          <t>Rellenar antes de viajar. Tenerlo tambien a mano en el movil. Ficha reutilizable para cualquier operacion.</t>
        </is>
      </c>
    </row>
    <row r="4" ht="15" customHeight="1" s="43">
      <c r="A4" s="52" t="inlineStr">
        <is>
          <t>Rol</t>
        </is>
      </c>
      <c r="B4" s="52" t="inlineStr">
        <is>
          <t>Nombre / Entidad</t>
        </is>
      </c>
      <c r="C4" s="52" t="inlineStr">
        <is>
          <t>Telefono</t>
        </is>
      </c>
      <c r="D4" s="52" t="inlineStr">
        <is>
          <t>Email</t>
        </is>
      </c>
      <c r="E4" s="52" t="inlineStr">
        <is>
          <t>Notas</t>
        </is>
      </c>
    </row>
    <row r="5" ht="15" customHeight="1" s="43">
      <c r="A5" s="47" t="inlineStr">
        <is>
          <t>Vendedor</t>
        </is>
      </c>
      <c r="B5" s="48" t="inlineStr">
        <is>
          <t>Martin - AlpenDrive</t>
        </is>
      </c>
      <c r="C5" s="48" t="n"/>
      <c r="D5" s="48" t="n"/>
      <c r="E5" s="53" t="inlineStr">
        <is>
          <t>Im Gewerbegebiet 1, 83093 Bad Endorf</t>
        </is>
      </c>
    </row>
    <row r="6" ht="15" customHeight="1" s="43">
      <c r="A6" s="54" t="inlineStr">
        <is>
          <t>Gestor bancario</t>
        </is>
      </c>
      <c r="B6" s="55" t="n"/>
      <c r="C6" s="55" t="n"/>
      <c r="D6" s="55" t="n"/>
      <c r="E6" s="57" t="inlineStr">
        <is>
          <t>Negociar tipo de interes en oficina</t>
        </is>
      </c>
    </row>
    <row r="7" ht="15" customHeight="1" s="43">
      <c r="A7" s="47" t="inlineStr">
        <is>
          <t>Gestoria de importacion</t>
        </is>
      </c>
      <c r="B7" s="48" t="n"/>
      <c r="C7" s="48" t="n"/>
      <c r="D7" s="48" t="n"/>
      <c r="E7" s="53" t="inlineStr">
        <is>
          <t>Opcional, solo si no se tramita uno mismo</t>
        </is>
      </c>
    </row>
    <row r="8" ht="15" customHeight="1" s="43">
      <c r="A8" s="54" t="inlineStr">
        <is>
          <t>Seguro temporal</t>
        </is>
      </c>
      <c r="B8" s="55" t="n"/>
      <c r="C8" s="55" t="n"/>
      <c r="D8" s="55" t="n"/>
      <c r="E8" s="57" t="inlineStr">
        <is>
          <t>Junto con placas provisionales</t>
        </is>
      </c>
    </row>
    <row r="9" ht="15" customHeight="1" s="43">
      <c r="A9" s="47" t="inlineStr">
        <is>
          <t>Asistencia en carretera</t>
        </is>
      </c>
      <c r="B9" s="48" t="n"/>
      <c r="C9" s="48" t="n"/>
      <c r="D9" s="48" t="n"/>
      <c r="E9" s="53" t="inlineStr">
        <is>
          <t>Cobertura internacional 24h, revisar poliza del seguro del coche</t>
        </is>
      </c>
    </row>
    <row r="10" ht="15" customHeight="1" s="43">
      <c r="A10" s="54" t="inlineStr">
        <is>
          <t>Cita ITV importacion (Espania)</t>
        </is>
      </c>
      <c r="B10" s="55" t="n"/>
      <c r="C10" s="55" t="n"/>
      <c r="D10" s="55" t="n"/>
      <c r="E10" s="57" t="inlineStr">
        <is>
          <t>Pedir cita antes de volver si es posible</t>
        </is>
      </c>
    </row>
    <row r="11" ht="15" customHeight="1" s="43">
      <c r="A11" s="47" t="inlineStr">
        <is>
          <t>Traductor / apoyo idioma</t>
        </is>
      </c>
      <c r="B11" s="48" t="n"/>
      <c r="C11" s="48" t="n"/>
      <c r="D11" s="48" t="n"/>
      <c r="E11" s="53" t="inlineStr">
        <is>
          <t>Si el idioma del vendedor no se domina</t>
        </is>
      </c>
    </row>
    <row r="12" ht="15" customHeight="1" s="43">
      <c r="A12" s="54" t="inlineStr">
        <is>
          <t>Gestoria de venta / anuncio</t>
        </is>
      </c>
      <c r="B12" s="55" t="n"/>
      <c r="C12" s="55" t="n"/>
      <c r="D12" s="55" t="n"/>
      <c r="E12" s="57" t="inlineStr">
        <is>
          <t>Si se decide vender mas adelante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6A4C93"/>
    <outlinePr summaryBelow="1" summaryRight="1"/>
    <pageSetUpPr fitToPage="0"/>
  </sheetPr>
  <dimension ref="A1:F7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 customWidth="1" style="42" min="1" max="1"/>
    <col width="30" customWidth="1" style="42" min="2" max="2"/>
    <col width="10" customWidth="1" style="42" min="3" max="3"/>
    <col width="12" customWidth="1" style="42" min="4" max="4"/>
    <col width="40" customWidth="1" style="42" min="5" max="5"/>
    <col width="70" customWidth="1" style="42" min="6" max="6"/>
  </cols>
  <sheetData>
    <row r="1" ht="30" customHeight="1" s="43">
      <c r="A1" s="44" t="inlineStr">
        <is>
          <t>Plantillas de mensaje (Email / WhatsApp, ES-EN-DE, profesional y distendido)</t>
        </is>
      </c>
    </row>
    <row r="2" ht="15" customHeight="1" s="43">
      <c r="A2" s="45" t="inlineStr">
        <is>
          <t>Copiar y adaptar segun el vehiculo, vendedor o comprador. Tono Profesional = pensado para email; Tono Distendido = pensado para WhatsApp (ambos se pueden usar en cualquier canal). Sustituir los campos entre corchetes [ ].</t>
        </is>
      </c>
    </row>
    <row r="4" ht="15" customHeight="1" s="43">
      <c r="A4" s="52" t="inlineStr">
        <is>
          <t>#</t>
        </is>
      </c>
      <c r="B4" s="52" t="inlineStr">
        <is>
          <t>Tipo de mensaje</t>
        </is>
      </c>
      <c r="C4" s="52" t="inlineStr">
        <is>
          <t>Idioma</t>
        </is>
      </c>
      <c r="D4" s="52" t="inlineStr">
        <is>
          <t>Tono</t>
        </is>
      </c>
      <c r="E4" s="52" t="inlineStr">
        <is>
          <t>Asunto (si Email)</t>
        </is>
      </c>
      <c r="F4" s="52" t="inlineStr">
        <is>
          <t>Texto</t>
        </is>
      </c>
    </row>
    <row r="5" ht="45.75" customHeight="1" s="43">
      <c r="A5" s="75" t="inlineStr">
        <is>
          <t>COMPRA - CONTACTO Y NEGOCIACION</t>
        </is>
      </c>
      <c r="B5" s="76" t="n"/>
      <c r="C5" s="76" t="n"/>
      <c r="D5" s="76" t="n"/>
      <c r="E5" s="76" t="n"/>
      <c r="F5" s="76" t="n"/>
    </row>
    <row r="6" ht="45.75" customHeight="1" s="43">
      <c r="A6" s="47" t="n">
        <v>1</v>
      </c>
      <c r="B6" s="67" t="inlineStr">
        <is>
          <t>1. Contacto inicial con el vendedor</t>
        </is>
      </c>
      <c r="C6" s="47" t="inlineStr">
        <is>
          <t>Espaniol</t>
        </is>
      </c>
      <c r="D6" s="47" t="inlineStr">
        <is>
          <t>Profesional</t>
        </is>
      </c>
      <c r="E6" s="53" t="inlineStr">
        <is>
          <t>Consulta sobre [VEHICULO] publicado en [PORTAL]</t>
        </is>
      </c>
      <c r="F6" s="77" t="inlineStr">
        <is>
          <t>Buenos dias, soy [NOMBRE] y escribo desde Espania. Estoy interesado/a en su [VEHICULO], si continua disponible y libre de accidentes. Para avanzar con el proceso de importacion a Espania, podria enviarme la documentacion del vehiculo (permiso de circulacion, ficha tecnica, Certificado de Conformidad), el VIN y el historial de mantenimiento, junto con fotos adicionales, incluyendo los bajos? Quedo a la espera de su respuesta. Un saludo, [NOMBRE].</t>
        </is>
      </c>
    </row>
    <row r="7" ht="45.75" customHeight="1" s="43">
      <c r="C7" s="47" t="inlineStr">
        <is>
          <t>Espaniol</t>
        </is>
      </c>
      <c r="D7" s="47" t="inlineStr">
        <is>
          <t>Distendido</t>
        </is>
      </c>
      <c r="F7" s="77" t="inlineStr">
        <is>
          <t>Hola, soy [NOMBRE], desde Espania. Sigue disponible el [VEHICULO]? Me interesa para importarlo. Me puedes pasar el VIN, el historial de mantenimiento y unas fotos de los bajos? Gracias!</t>
        </is>
      </c>
    </row>
    <row r="8" ht="45.75" customHeight="1" s="43">
      <c r="C8" s="47" t="inlineStr">
        <is>
          <t>Ingles</t>
        </is>
      </c>
      <c r="D8" s="47" t="inlineStr">
        <is>
          <t>Profesional</t>
        </is>
      </c>
      <c r="E8" s="53" t="inlineStr">
        <is>
          <t>Inquiry about the [VEHICULO] listed on [PORTAL]</t>
        </is>
      </c>
      <c r="F8" s="77" t="inlineStr">
        <is>
          <t>Good morning, my name is [NOMBRE], writing from Spain. I'm interested in your [VEHICULO], if it's still available and accident-free. To proceed with the Spanish import process, could you send me the vehicle documents (registration certificate, technical data sheet, Certificate of Conformity), the VIN, and the service history, along with a few extra photos including the underbody? Looking forward to your reply. Best regards, [NOMBRE].</t>
        </is>
      </c>
    </row>
    <row r="9" ht="45.75" customHeight="1" s="43">
      <c r="C9" s="47" t="inlineStr">
        <is>
          <t>Ingles</t>
        </is>
      </c>
      <c r="D9" s="47" t="inlineStr">
        <is>
          <t>Distendido</t>
        </is>
      </c>
      <c r="F9" s="77" t="inlineStr">
        <is>
          <t>Hi, I'm [NOMBRE] from Spain. Is the [VEHICULO] still available? I'm looking to import it. Could you send me the VIN, service history, and a couple of underbody photos? Thanks!</t>
        </is>
      </c>
    </row>
    <row r="10" ht="45.75" customHeight="1" s="43">
      <c r="C10" s="47" t="inlineStr">
        <is>
          <t>Aleman</t>
        </is>
      </c>
      <c r="D10" s="47" t="inlineStr">
        <is>
          <t>Profesional</t>
        </is>
      </c>
      <c r="E10" s="53" t="inlineStr">
        <is>
          <t>Anfrage zu Ihrem [VEHICULO]</t>
        </is>
      </c>
      <c r="F10" s="77" t="inlineStr">
        <is>
          <t>Guten Tag, mein Name ist [NOMBRE], ich schreibe aus Spanien. Ich interessiere mich fuer Ihren [VEHICULO], sofern er noch verfuegbar und unfallfrei ist. Fuer die Einfuhr nach Spanien benoetige ich die Fahrzeugpapiere (Zulassungsbescheinigung Teil I &amp; II, COC), die Fahrgestellnummer (VIN) sowie die Wartungshistorie, zusaetzlich einige Fotos, auch vom Unterboden. Ich freue mich auf Ihre Antwort. Mit freundlichen Gruessen, [NOMBRE].</t>
        </is>
      </c>
    </row>
    <row r="11" ht="45.75" customHeight="1" s="43">
      <c r="C11" s="47" t="inlineStr">
        <is>
          <t>Aleman</t>
        </is>
      </c>
      <c r="D11" s="47" t="inlineStr">
        <is>
          <t>Distendido</t>
        </is>
      </c>
      <c r="F11" s="77" t="inlineStr">
        <is>
          <t>Hallo, ich bin [NOMBRE] aus Spanien. Ist der [VEHICULO] noch zu haben? Ich moechte ihn nach Spanien importieren. Kannst du mir VIN, Wartungshistorie und ein paar Fotos vom Unterboden schicken? Danke!</t>
        </is>
      </c>
    </row>
    <row r="12" ht="45.75" customHeight="1" s="43">
      <c r="A12" s="54" t="n">
        <v>2</v>
      </c>
      <c r="B12" s="62" t="inlineStr">
        <is>
          <t>2. Pedir fotos / documentos adicionales</t>
        </is>
      </c>
      <c r="C12" s="54" t="inlineStr">
        <is>
          <t>Espaniol</t>
        </is>
      </c>
      <c r="D12" s="54" t="inlineStr">
        <is>
          <t>Profesional</t>
        </is>
      </c>
      <c r="E12" s="57" t="inlineStr">
        <is>
          <t>Documentacion adicional para el [VEHICULO]</t>
        </is>
      </c>
      <c r="F12" s="78" t="inlineStr">
        <is>
          <t>Gracias por la respuesta. Para completar la valoracion antes de viajar, seria posible recibir tambien el ultimo informe de inspeccion tecnica (ITV/TUV), el certificado de conformidad (COC) y un video corto del arranque en frio? Se lo agradezco de antemano.</t>
        </is>
      </c>
    </row>
    <row r="13" ht="45.75" customHeight="1" s="43">
      <c r="A13" s="56" t="n"/>
      <c r="B13" s="56" t="n"/>
      <c r="C13" s="54" t="inlineStr">
        <is>
          <t>Espaniol</t>
        </is>
      </c>
      <c r="D13" s="54" t="inlineStr">
        <is>
          <t>Distendido</t>
        </is>
      </c>
      <c r="E13" s="56" t="n"/>
      <c r="F13" s="78" t="inlineStr">
        <is>
          <t>Me puedes pasar tambien el ultimo informe de ITV/TUV y un video rapido de como arranca en frio? Asi lo tengo todo listo antes de ir. Gracias!</t>
        </is>
      </c>
    </row>
    <row r="14" ht="45.75" customHeight="1" s="43">
      <c r="A14" s="56" t="n"/>
      <c r="B14" s="56" t="n"/>
      <c r="C14" s="54" t="inlineStr">
        <is>
          <t>Ingles</t>
        </is>
      </c>
      <c r="D14" s="54" t="inlineStr">
        <is>
          <t>Profesional</t>
        </is>
      </c>
      <c r="E14" s="57" t="inlineStr">
        <is>
          <t>Additional documents for the [VEHICULO]</t>
        </is>
      </c>
      <c r="F14" s="78" t="inlineStr">
        <is>
          <t>Thank you for your reply. To complete my assessment before traveling, could you also send the latest roadworthiness/inspection report, the Certificate of Conformity (COC), and a short cold-start video? I appreciate it.</t>
        </is>
      </c>
    </row>
    <row r="15" ht="45.75" customHeight="1" s="43">
      <c r="A15" s="56" t="n"/>
      <c r="B15" s="56" t="n"/>
      <c r="C15" s="54" t="inlineStr">
        <is>
          <t>Ingles</t>
        </is>
      </c>
      <c r="D15" s="54" t="inlineStr">
        <is>
          <t>Distendido</t>
        </is>
      </c>
      <c r="E15" s="56" t="n"/>
      <c r="F15" s="78" t="inlineStr">
        <is>
          <t>Could you also send the latest inspection report and a quick video of the cold start? Just want everything ready before I travel. Thanks!</t>
        </is>
      </c>
    </row>
    <row r="16" ht="45.75" customHeight="1" s="43">
      <c r="A16" s="56" t="n"/>
      <c r="B16" s="56" t="n"/>
      <c r="C16" s="54" t="inlineStr">
        <is>
          <t>Aleman</t>
        </is>
      </c>
      <c r="D16" s="54" t="inlineStr">
        <is>
          <t>Profesional</t>
        </is>
      </c>
      <c r="E16" s="57" t="inlineStr">
        <is>
          <t>Weitere Unterlagen zum [VEHICULO]</t>
        </is>
      </c>
      <c r="F16" s="78" t="inlineStr">
        <is>
          <t>Vielen Dank fuer Ihre Antwort. Fuer meine Einschaetzung vor der Anreise waere es hilfreich, auch den letzten TUEV-Bericht, das COC sowie ein kurzes Video vom Kaltstart zu erhalten. Vielen Dank im Voraus.</t>
        </is>
      </c>
    </row>
    <row r="17" ht="45.75" customHeight="1" s="43">
      <c r="A17" s="56" t="n"/>
      <c r="B17" s="56" t="n"/>
      <c r="C17" s="54" t="inlineStr">
        <is>
          <t>Aleman</t>
        </is>
      </c>
      <c r="D17" s="54" t="inlineStr">
        <is>
          <t>Distendido</t>
        </is>
      </c>
      <c r="E17" s="56" t="n"/>
      <c r="F17" s="78" t="inlineStr">
        <is>
          <t>Kannst du mir noch den letzten TUEV-Bericht und ein kurzes Video vom Kaltstart schicken? Dann hab ich vor der Anreise alles parat. Danke!</t>
        </is>
      </c>
    </row>
    <row r="18" ht="45.75" customHeight="1" s="43">
      <c r="A18" s="47" t="n">
        <v>3</v>
      </c>
      <c r="B18" s="67" t="inlineStr">
        <is>
          <t>3. Confirmar cita para ver el coche</t>
        </is>
      </c>
      <c r="C18" s="47" t="inlineStr">
        <is>
          <t>Espaniol</t>
        </is>
      </c>
      <c r="D18" s="47" t="inlineStr">
        <is>
          <t>Profesional</t>
        </is>
      </c>
      <c r="E18" s="53" t="inlineStr">
        <is>
          <t>Confirmacion de visita - [VEHICULO]</t>
        </is>
      </c>
      <c r="F18" s="77" t="inlineStr">
        <is>
          <t>Me gustaria concretar una cita para ver el vehiculo en persona el [FECHA] sobre las [HORA]. Le confirmo que llegare con el pago listo para formalizar la compra el mismo dia si todo esta conforme. Le viene bien esa fecha?</t>
        </is>
      </c>
    </row>
    <row r="19" ht="45.75" customHeight="1" s="43">
      <c r="C19" s="47" t="inlineStr">
        <is>
          <t>Espaniol</t>
        </is>
      </c>
      <c r="D19" s="47" t="inlineStr">
        <is>
          <t>Distendido</t>
        </is>
      </c>
      <c r="F19" s="77" t="inlineStr">
        <is>
          <t>Oye, te viene bien que vaya a verlo el [FECHA] sobre las [HORA]? Voy con el pago listo por si cerramos ese mismo dia.</t>
        </is>
      </c>
    </row>
    <row r="20" ht="45.75" customHeight="1" s="43">
      <c r="C20" s="47" t="inlineStr">
        <is>
          <t>Ingles</t>
        </is>
      </c>
      <c r="D20" s="47" t="inlineStr">
        <is>
          <t>Profesional</t>
        </is>
      </c>
      <c r="E20" s="53" t="inlineStr">
        <is>
          <t>Visit confirmation - [VEHICULO]</t>
        </is>
      </c>
      <c r="F20" s="77" t="inlineStr">
        <is>
          <t>I would like to arrange a visit to see the vehicle in person on [FECHA] around [HORA]. I can confirm I will have payment ready to complete the purchase that same day if everything checks out. Would that date work for you?</t>
        </is>
      </c>
    </row>
    <row r="21" ht="45.75" customHeight="1" s="43">
      <c r="C21" s="47" t="inlineStr">
        <is>
          <t>Ingles</t>
        </is>
      </c>
      <c r="D21" s="47" t="inlineStr">
        <is>
          <t>Distendido</t>
        </is>
      </c>
      <c r="F21" s="77" t="inlineStr">
        <is>
          <t>Would [FECHA] around [HORA] work for you to see the car? I'll have payment ready in case we close the deal that day.</t>
        </is>
      </c>
    </row>
    <row r="22" ht="45.75" customHeight="1" s="43">
      <c r="C22" s="47" t="inlineStr">
        <is>
          <t>Aleman</t>
        </is>
      </c>
      <c r="D22" s="47" t="inlineStr">
        <is>
          <t>Profesional</t>
        </is>
      </c>
      <c r="E22" s="53" t="inlineStr">
        <is>
          <t>Besichtigungstermin - [VEHICULO]</t>
        </is>
      </c>
      <c r="F22" s="77" t="inlineStr">
        <is>
          <t>Ich wuerde das Fahrzeug gerne am [FECHA] gegen [HORA] persoenlich besichtigen. Bei positivem Eindruck kann ich den Kauf noch am selben Tag mit sofortiger Zahlung abschliessen. Passt Ihnen dieser Termin?</t>
        </is>
      </c>
    </row>
    <row r="23" ht="45.75" customHeight="1" s="43">
      <c r="C23" s="47" t="inlineStr">
        <is>
          <t>Aleman</t>
        </is>
      </c>
      <c r="D23" s="47" t="inlineStr">
        <is>
          <t>Distendido</t>
        </is>
      </c>
      <c r="F23" s="77" t="inlineStr">
        <is>
          <t>Passt es dir, wenn ich am [FECHA] gegen [HORA] vorbeikomme? Ich hab die Zahlung parat, falls wir gleich abschliessen.</t>
        </is>
      </c>
    </row>
    <row r="24" ht="45.75" customHeight="1" s="43">
      <c r="A24" s="54" t="n">
        <v>4</v>
      </c>
      <c r="B24" s="62" t="inlineStr">
        <is>
          <t>4. Peticion de descuento</t>
        </is>
      </c>
      <c r="C24" s="54" t="inlineStr">
        <is>
          <t>Espaniol</t>
        </is>
      </c>
      <c r="D24" s="54" t="inlineStr">
        <is>
          <t>Profesional</t>
        </is>
      </c>
      <c r="E24" s="56" t="n"/>
      <c r="F24" s="78" t="inlineStr">
        <is>
          <t>Gracias por la informacion. Estoy en disposicion de proceder con una transferencia inmediata esta misma semana, sin condiciones de financiacion ni demoras. Dado el kilometraje/historial, hay margen en el precio?</t>
        </is>
      </c>
    </row>
    <row r="25" ht="45.75" customHeight="1" s="43">
      <c r="A25" s="56" t="n"/>
      <c r="B25" s="56" t="n"/>
      <c r="C25" s="54" t="inlineStr">
        <is>
          <t>Espaniol</t>
        </is>
      </c>
      <c r="D25" s="54" t="inlineStr">
        <is>
          <t>Distendido</t>
        </is>
      </c>
      <c r="E25" s="56" t="n"/>
      <c r="F25" s="78" t="inlineStr">
        <is>
          <t>Todo perfecto, gracias! Puedo pagar por transferencia instantanea esta semana, sin lios de financiacion. Hay algo de margen en el precio?</t>
        </is>
      </c>
    </row>
    <row r="26" ht="45.75" customHeight="1" s="43">
      <c r="A26" s="56" t="n"/>
      <c r="B26" s="56" t="n"/>
      <c r="C26" s="54" t="inlineStr">
        <is>
          <t>Ingles</t>
        </is>
      </c>
      <c r="D26" s="54" t="inlineStr">
        <is>
          <t>Profesional</t>
        </is>
      </c>
      <c r="E26" s="56" t="n"/>
      <c r="F26" s="78" t="inlineStr">
        <is>
          <t>Thank you for the information. I'm ready to proceed with an immediate transfer this week - no financing conditions, no delays. Given the mileage/history, is there any flexibility on the price?</t>
        </is>
      </c>
    </row>
    <row r="27" ht="45.75" customHeight="1" s="43">
      <c r="A27" s="56" t="n"/>
      <c r="B27" s="56" t="n"/>
      <c r="C27" s="54" t="inlineStr">
        <is>
          <t>Ingles</t>
        </is>
      </c>
      <c r="D27" s="54" t="inlineStr">
        <is>
          <t>Distendido</t>
        </is>
      </c>
      <c r="E27" s="56" t="n"/>
      <c r="F27" s="78" t="inlineStr">
        <is>
          <t>All good, thanks! I can pay by instant transfer this week, no financing hassle. Any room to move on the price?</t>
        </is>
      </c>
    </row>
    <row r="28" ht="45.75" customHeight="1" s="43">
      <c r="A28" s="56" t="n"/>
      <c r="B28" s="56" t="n"/>
      <c r="C28" s="54" t="inlineStr">
        <is>
          <t>Aleman</t>
        </is>
      </c>
      <c r="D28" s="54" t="inlineStr">
        <is>
          <t>Profesional</t>
        </is>
      </c>
      <c r="E28" s="56" t="n"/>
      <c r="F28" s="78" t="inlineStr">
        <is>
          <t>Vielen Dank fuer die Informationen. Ich kann noch diese Woche eine Sofortueberweisung taetigen, ohne Finanzierung oder Verzoegerungen. Gibt es angesichts der Laufleistung/Historie noch Verhandlungsspielraum beim Preis?</t>
        </is>
      </c>
    </row>
    <row r="29" ht="45.75" customHeight="1" s="43">
      <c r="A29" s="56" t="n"/>
      <c r="B29" s="56" t="n"/>
      <c r="C29" s="54" t="inlineStr">
        <is>
          <t>Aleman</t>
        </is>
      </c>
      <c r="D29" s="54" t="inlineStr">
        <is>
          <t>Distendido</t>
        </is>
      </c>
      <c r="E29" s="56" t="n"/>
      <c r="F29" s="78" t="inlineStr">
        <is>
          <t>Danke, alles klar! Ich kann diese Woche per Sofortueberweisung zahlen, keine Finanzierung noetig. Ist beim Preis noch etwas drin?</t>
        </is>
      </c>
    </row>
    <row r="30" ht="45.75" customHeight="1" s="43">
      <c r="A30" s="75" t="inlineStr">
        <is>
          <t>COMPRA - SEGUIMIENTO Y CIERRE</t>
        </is>
      </c>
      <c r="B30" s="76" t="n"/>
      <c r="C30" s="76" t="n"/>
      <c r="D30" s="76" t="n"/>
      <c r="E30" s="76" t="n"/>
      <c r="F30" s="76" t="n"/>
    </row>
    <row r="31" ht="45.75" customHeight="1" s="43">
      <c r="A31" s="47" t="n">
        <v>5</v>
      </c>
      <c r="B31" s="67" t="inlineStr">
        <is>
          <t>5. Confirmar cierre y forma de pago</t>
        </is>
      </c>
      <c r="C31" s="47" t="inlineStr">
        <is>
          <t>Espaniol</t>
        </is>
      </c>
      <c r="D31" s="47" t="inlineStr">
        <is>
          <t>Profesional</t>
        </is>
      </c>
      <c r="E31" s="53" t="inlineStr">
        <is>
          <t>Confirmacion de compra y forma de pago - [VEHICULO]</t>
        </is>
      </c>
      <c r="F31" s="77" t="inlineStr">
        <is>
          <t>Confirmo que procederemos con la compra del [VEHICULO] por [PRECIO] EUR. El pago se realizara mediante transferencia SEPA instantanea el dia de la firma. Le agradeceria que tuviera preparado el contrato de compraventa y la documentacion indicada previamente.</t>
        </is>
      </c>
    </row>
    <row r="32" ht="45.75" customHeight="1" s="43">
      <c r="C32" s="47" t="inlineStr">
        <is>
          <t>Espaniol</t>
        </is>
      </c>
      <c r="D32" s="47" t="inlineStr">
        <is>
          <t>Distendido</t>
        </is>
      </c>
      <c r="F32" s="77" t="inlineStr">
        <is>
          <t>Genial, cerramos entonces por [PRECIO]. Pago por transferencia instantanea el dia que firmemos. Tienes ya el contrato preparado?</t>
        </is>
      </c>
    </row>
    <row r="33" ht="45.75" customHeight="1" s="43">
      <c r="C33" s="47" t="inlineStr">
        <is>
          <t>Ingles</t>
        </is>
      </c>
      <c r="D33" s="47" t="inlineStr">
        <is>
          <t>Profesional</t>
        </is>
      </c>
      <c r="E33" s="53" t="inlineStr">
        <is>
          <t>Purchase and payment confirmation - [VEHICULO]</t>
        </is>
      </c>
      <c r="F33" s="77" t="inlineStr">
        <is>
          <t>I confirm we will proceed with the purchase of the [VEHICULO] for EUR [PRECIO]. Payment will be made via instant bank transfer on the day of signing. I'd appreciate it if you could have the sales contract and previously requested documents ready.</t>
        </is>
      </c>
    </row>
    <row r="34" ht="45.75" customHeight="1" s="43">
      <c r="C34" s="47" t="inlineStr">
        <is>
          <t>Ingles</t>
        </is>
      </c>
      <c r="D34" s="47" t="inlineStr">
        <is>
          <t>Distendido</t>
        </is>
      </c>
      <c r="F34" s="77" t="inlineStr">
        <is>
          <t>Great, let's go ahead at EUR [PRECIO]. I'll pay by instant transfer on signing day. Do you have the contract ready?</t>
        </is>
      </c>
    </row>
    <row r="35" ht="45.75" customHeight="1" s="43">
      <c r="C35" s="47" t="inlineStr">
        <is>
          <t>Aleman</t>
        </is>
      </c>
      <c r="D35" s="47" t="inlineStr">
        <is>
          <t>Profesional</t>
        </is>
      </c>
      <c r="E35" s="53" t="inlineStr">
        <is>
          <t>Kaufbestaetigung und Zahlungsweise - [VEHICULO]</t>
        </is>
      </c>
      <c r="F35" s="77" t="inlineStr">
        <is>
          <t>Hiermit bestaetige ich den Kauf des [VEHICULO] zum Preis von [PRECIO] EUR. Die Zahlung erfolgt am Tag der Unterschrift per Sofortueberweisung. Ich waere dankbar, wenn Sie den Kaufvertrag und die zuvor angefragten Unterlagen bereithalten koennten.</t>
        </is>
      </c>
    </row>
    <row r="36" ht="45.75" customHeight="1" s="43">
      <c r="C36" s="47" t="inlineStr">
        <is>
          <t>Aleman</t>
        </is>
      </c>
      <c r="D36" s="47" t="inlineStr">
        <is>
          <t>Distendido</t>
        </is>
      </c>
      <c r="F36" s="77" t="inlineStr">
        <is>
          <t>Super, dann machen wir's fuer [PRECIO] EUR fest. Zahlung per Sofortueberweisung am Tag der Unterschrift. Hast du den Vertrag schon fertig?</t>
        </is>
      </c>
    </row>
    <row r="37" ht="45.75" customHeight="1" s="43">
      <c r="A37" s="54" t="n">
        <v>6</v>
      </c>
      <c r="B37" s="62" t="inlineStr">
        <is>
          <t>6. Seguimiento si no responden</t>
        </is>
      </c>
      <c r="C37" s="54" t="inlineStr">
        <is>
          <t>Espaniol</t>
        </is>
      </c>
      <c r="D37" s="54" t="inlineStr">
        <is>
          <t>Profesional</t>
        </is>
      </c>
      <c r="E37" s="57" t="inlineStr">
        <is>
          <t>Seguimiento - consulta sobre [VEHICULO]</t>
        </is>
      </c>
      <c r="F37" s="78" t="inlineStr">
        <is>
          <t>Le escribi hace unos dias preguntando por el [VEHICULO] y no he tenido noticias. Sigue disponible el vehiculo? Quedo atento/a a su respuesta.</t>
        </is>
      </c>
    </row>
    <row r="38" ht="45.75" customHeight="1" s="43">
      <c r="A38" s="56" t="n"/>
      <c r="B38" s="56" t="n"/>
      <c r="C38" s="54" t="inlineStr">
        <is>
          <t>Espaniol</t>
        </is>
      </c>
      <c r="D38" s="54" t="inlineStr">
        <is>
          <t>Distendido</t>
        </is>
      </c>
      <c r="E38" s="56" t="n"/>
      <c r="F38" s="78" t="inlineStr">
        <is>
          <t>Hola de nuevo! Sigue disponible el coche? No he tenido respuesta y no quiero perder la oportunidad.</t>
        </is>
      </c>
    </row>
    <row r="39" ht="45.75" customHeight="1" s="43">
      <c r="A39" s="56" t="n"/>
      <c r="B39" s="56" t="n"/>
      <c r="C39" s="54" t="inlineStr">
        <is>
          <t>Ingles</t>
        </is>
      </c>
      <c r="D39" s="54" t="inlineStr">
        <is>
          <t>Profesional</t>
        </is>
      </c>
      <c r="E39" s="57" t="inlineStr">
        <is>
          <t>Follow-up - inquiry about the [VEHICULO]</t>
        </is>
      </c>
      <c r="F39" s="78" t="inlineStr">
        <is>
          <t>I reached out a few days ago about the [VEHICULO] and haven't heard back. Is the vehicle still available? Looking forward to your reply.</t>
        </is>
      </c>
    </row>
    <row r="40" ht="45.75" customHeight="1" s="43">
      <c r="A40" s="56" t="n"/>
      <c r="B40" s="56" t="n"/>
      <c r="C40" s="54" t="inlineStr">
        <is>
          <t>Ingles</t>
        </is>
      </c>
      <c r="D40" s="54" t="inlineStr">
        <is>
          <t>Distendido</t>
        </is>
      </c>
      <c r="E40" s="56" t="n"/>
      <c r="F40" s="78" t="inlineStr">
        <is>
          <t>Hi again! Is the car still available? Haven't heard back and don't want to miss out.</t>
        </is>
      </c>
    </row>
    <row r="41" ht="45.75" customHeight="1" s="43">
      <c r="A41" s="56" t="n"/>
      <c r="B41" s="56" t="n"/>
      <c r="C41" s="54" t="inlineStr">
        <is>
          <t>Aleman</t>
        </is>
      </c>
      <c r="D41" s="54" t="inlineStr">
        <is>
          <t>Profesional</t>
        </is>
      </c>
      <c r="E41" s="57" t="inlineStr">
        <is>
          <t>Nachfrage - Ihr [VEHICULO]</t>
        </is>
      </c>
      <c r="F41" s="78" t="inlineStr">
        <is>
          <t>Ich hatte vor einigen Tagen wegen des [VEHICULO] geschrieben und noch keine Rueckmeldung erhalten. Ist das Fahrzeug noch verfuegbar? Ich freue mich auf Ihre Antwort.</t>
        </is>
      </c>
    </row>
    <row r="42" ht="45.75" customHeight="1" s="43">
      <c r="A42" s="56" t="n"/>
      <c r="B42" s="56" t="n"/>
      <c r="C42" s="54" t="inlineStr">
        <is>
          <t>Aleman</t>
        </is>
      </c>
      <c r="D42" s="54" t="inlineStr">
        <is>
          <t>Distendido</t>
        </is>
      </c>
      <c r="E42" s="56" t="n"/>
      <c r="F42" s="78" t="inlineStr">
        <is>
          <t>Hallo nochmal! Ist der Wagen noch zu haben? Hab noch nichts gehoert und will die Chance nicht verpassen.</t>
        </is>
      </c>
    </row>
    <row r="43" ht="45.75" customHeight="1" s="43">
      <c r="A43" s="47" t="n">
        <v>7</v>
      </c>
      <c r="B43" s="67" t="inlineStr">
        <is>
          <t>7. El coche ya se vendio - pedir avisen de otros</t>
        </is>
      </c>
      <c r="C43" s="47" t="inlineStr">
        <is>
          <t>Espaniol</t>
        </is>
      </c>
      <c r="D43" s="47" t="inlineStr">
        <is>
          <t>Profesional</t>
        </is>
      </c>
      <c r="F43" s="77" t="inlineStr">
        <is>
          <t>Gracias por avisarme. Si dispone de otro vehiculo similar (mismo modelo/motorizacion o equivalente) proximamente, le agradeceria que me lo hiciera saber.</t>
        </is>
      </c>
    </row>
    <row r="44" ht="45.75" customHeight="1" s="43">
      <c r="C44" s="47" t="inlineStr">
        <is>
          <t>Espaniol</t>
        </is>
      </c>
      <c r="D44" s="47" t="inlineStr">
        <is>
          <t>Distendido</t>
        </is>
      </c>
      <c r="F44" s="77" t="inlineStr">
        <is>
          <t>Vaya, una pena! Si te entra algo parecido avisame porfa.</t>
        </is>
      </c>
    </row>
    <row r="45" ht="45.75" customHeight="1" s="43">
      <c r="C45" s="47" t="inlineStr">
        <is>
          <t>Ingles</t>
        </is>
      </c>
      <c r="D45" s="47" t="inlineStr">
        <is>
          <t>Profesional</t>
        </is>
      </c>
      <c r="F45" s="77" t="inlineStr">
        <is>
          <t>Thank you for letting me know. If you come across a similar vehicle (same model/engine or equivalent) in the near future, I'd appreciate it if you could let me know.</t>
        </is>
      </c>
    </row>
    <row r="46" ht="45.75" customHeight="1" s="43">
      <c r="C46" s="47" t="inlineStr">
        <is>
          <t>Ingles</t>
        </is>
      </c>
      <c r="D46" s="47" t="inlineStr">
        <is>
          <t>Distendido</t>
        </is>
      </c>
      <c r="F46" s="77" t="inlineStr">
        <is>
          <t>Ah, too bad! If something similar comes in, please let me know.</t>
        </is>
      </c>
    </row>
    <row r="47" ht="45.75" customHeight="1" s="43">
      <c r="C47" s="47" t="inlineStr">
        <is>
          <t>Aleman</t>
        </is>
      </c>
      <c r="D47" s="47" t="inlineStr">
        <is>
          <t>Profesional</t>
        </is>
      </c>
      <c r="F47" s="77" t="inlineStr">
        <is>
          <t>Danke fuer die Info. Falls Sie demnaechst ein aehnliches Fahrzeug (gleiches Modell/Motorisierung oder vergleichbar) bekommen, waere ich fuer eine kurze Nachricht dankbar.</t>
        </is>
      </c>
    </row>
    <row r="48" ht="45.75" customHeight="1" s="43">
      <c r="C48" s="47" t="inlineStr">
        <is>
          <t>Aleman</t>
        </is>
      </c>
      <c r="D48" s="47" t="inlineStr">
        <is>
          <t>Distendido</t>
        </is>
      </c>
      <c r="F48" s="77" t="inlineStr">
        <is>
          <t>Schade! Falls was Aehnliches reinkommt, sag mir gerne Bescheid.</t>
        </is>
      </c>
    </row>
    <row r="49" ht="45.75" customHeight="1" s="43">
      <c r="A49" s="54" t="n">
        <v>8</v>
      </c>
      <c r="B49" s="62" t="inlineStr">
        <is>
          <t>8. Agradecimiento post-compra</t>
        </is>
      </c>
      <c r="C49" s="54" t="inlineStr">
        <is>
          <t>Espaniol</t>
        </is>
      </c>
      <c r="D49" s="54" t="inlineStr">
        <is>
          <t>Profesional</t>
        </is>
      </c>
      <c r="E49" s="57" t="inlineStr">
        <is>
          <t>Gracias por la operacion - [VEHICULO]</t>
        </is>
      </c>
      <c r="F49" s="78" t="inlineStr">
        <is>
          <t>Queria agradecerle de nuevo la atencion durante todo el proceso de compra del [VEHICULO]. Ha sido una experiencia muy positiva. Le deseo lo mejor y no dude en contactarme si surge algo relacionado con el vehiculo.</t>
        </is>
      </c>
    </row>
    <row r="50" ht="45.75" customHeight="1" s="43">
      <c r="A50" s="56" t="n"/>
      <c r="B50" s="56" t="n"/>
      <c r="C50" s="54" t="inlineStr">
        <is>
          <t>Espaniol</t>
        </is>
      </c>
      <c r="D50" s="54" t="inlineStr">
        <is>
          <t>Distendido</t>
        </is>
      </c>
      <c r="E50" s="56" t="n"/>
      <c r="F50" s="78" t="inlineStr">
        <is>
          <t>Muchas gracias por todo, ha sido un placer! Cualquier cosa me dices.</t>
        </is>
      </c>
    </row>
    <row r="51" ht="45.75" customHeight="1" s="43">
      <c r="A51" s="56" t="n"/>
      <c r="B51" s="56" t="n"/>
      <c r="C51" s="54" t="inlineStr">
        <is>
          <t>Ingles</t>
        </is>
      </c>
      <c r="D51" s="54" t="inlineStr">
        <is>
          <t>Profesional</t>
        </is>
      </c>
      <c r="E51" s="57" t="inlineStr">
        <is>
          <t>Thank you - [VEHICULO] purchase</t>
        </is>
      </c>
      <c r="F51" s="78" t="inlineStr">
        <is>
          <t>I wanted to thank you again for your help throughout the purchase of the [VEHICULO]. It was a great experience. All the best, and please don't hesitate to reach out if anything comes up.</t>
        </is>
      </c>
    </row>
    <row r="52" ht="45.75" customHeight="1" s="43">
      <c r="A52" s="56" t="n"/>
      <c r="B52" s="56" t="n"/>
      <c r="C52" s="54" t="inlineStr">
        <is>
          <t>Ingles</t>
        </is>
      </c>
      <c r="D52" s="54" t="inlineStr">
        <is>
          <t>Distendido</t>
        </is>
      </c>
      <c r="E52" s="56" t="n"/>
      <c r="F52" s="78" t="inlineStr">
        <is>
          <t>Thanks so much for everything, it was a pleasure! Let me know if anything comes up.</t>
        </is>
      </c>
    </row>
    <row r="53" ht="45.75" customHeight="1" s="43">
      <c r="A53" s="56" t="n"/>
      <c r="B53" s="56" t="n"/>
      <c r="C53" s="54" t="inlineStr">
        <is>
          <t>Aleman</t>
        </is>
      </c>
      <c r="D53" s="54" t="inlineStr">
        <is>
          <t>Profesional</t>
        </is>
      </c>
      <c r="E53" s="57" t="inlineStr">
        <is>
          <t>Vielen Dank - Kauf [VEHICULO]</t>
        </is>
      </c>
      <c r="F53" s="78" t="inlineStr">
        <is>
          <t>Ich moechte mich nochmals fuer die Unterstuetzung waehrend des gesamten Kaufprozesses des [VEHICULO] bedanken. Es war eine sehr positive Erfahrung. Alles Gute, und melden Sie sich gerne, falls etwas ist.</t>
        </is>
      </c>
    </row>
    <row r="54" ht="45.75" customHeight="1" s="43">
      <c r="A54" s="56" t="n"/>
      <c r="B54" s="56" t="n"/>
      <c r="C54" s="54" t="inlineStr">
        <is>
          <t>Aleman</t>
        </is>
      </c>
      <c r="D54" s="54" t="inlineStr">
        <is>
          <t>Distendido</t>
        </is>
      </c>
      <c r="E54" s="56" t="n"/>
      <c r="F54" s="78" t="inlineStr">
        <is>
          <t>Danke fuer alles, hat echt Spass gemacht! Meld dich, falls was ist.</t>
        </is>
      </c>
    </row>
    <row r="55" ht="45.75" customHeight="1" s="43">
      <c r="A55" s="75" t="inlineStr">
        <is>
          <t>CLIENTE - PRESENTAR Y CERRAR LA OPERACION</t>
        </is>
      </c>
      <c r="B55" s="76" t="n"/>
      <c r="C55" s="76" t="n"/>
      <c r="D55" s="76" t="n"/>
      <c r="E55" s="76" t="n"/>
      <c r="F55" s="76" t="n"/>
    </row>
    <row r="56" ht="45.75" customHeight="1" s="43">
      <c r="A56" s="47" t="n">
        <v>9</v>
      </c>
      <c r="B56" s="67" t="inlineStr">
        <is>
          <t>9. Presentar el coche a un cliente interesado</t>
        </is>
      </c>
      <c r="C56" s="47" t="inlineStr">
        <is>
          <t>Espaniol</t>
        </is>
      </c>
      <c r="D56" s="47" t="inlineStr">
        <is>
          <t>Profesional</t>
        </is>
      </c>
      <c r="E56" s="53" t="inlineStr">
        <is>
          <t>Informacion sobre el [VEHICULO] para tu importacion</t>
        </is>
      </c>
      <c r="F56" s="77" t="inlineStr">
        <is>
          <t>Gracias por tu interes. Este [VEHICULO] esta disponible para gestionar su importacion a tu nombre. Con [KM] km e historial de mantenimiento verificado, la documentacion de importacion queda completa y en regla desde el primer momento. Quedo a tu disposicion para resolver cualquier duda o concretar una visita.</t>
        </is>
      </c>
    </row>
    <row r="57" ht="45.75" customHeight="1" s="43">
      <c r="C57" s="47" t="inlineStr">
        <is>
          <t>Espaniol</t>
        </is>
      </c>
      <c r="D57" s="47" t="inlineStr">
        <is>
          <t>Distendido</t>
        </is>
      </c>
      <c r="F57" s="77" t="inlineStr">
        <is>
          <t>Hola! Si, sigue disponible para importartelo. Es un [VEHICULO] con historial completo, y te lo dejo con toda la documentacion de importacion en regla desde el minuto uno. Quieres que quedemos para verlo?</t>
        </is>
      </c>
    </row>
    <row r="58" ht="45.75" customHeight="1" s="43">
      <c r="C58" s="47" t="inlineStr">
        <is>
          <t>Ingles</t>
        </is>
      </c>
      <c r="D58" s="47" t="inlineStr">
        <is>
          <t>Profesional</t>
        </is>
      </c>
      <c r="E58" s="53" t="inlineStr">
        <is>
          <t>Information about the [VEHICULO] for your import</t>
        </is>
      </c>
      <c r="F58" s="77" t="inlineStr">
        <is>
          <t>Thank you for your interest. This [VEHICULO] is available for me to manage its import in your name. With [KM] km and a verified service history, the import documentation will be complete and in order from day one. I'm happy to answer any questions or arrange a viewing.</t>
        </is>
      </c>
    </row>
    <row r="59" ht="45.75" customHeight="1" s="43">
      <c r="C59" s="47" t="inlineStr">
        <is>
          <t>Ingles</t>
        </is>
      </c>
      <c r="D59" s="47" t="inlineStr">
        <is>
          <t>Distendido</t>
        </is>
      </c>
      <c r="F59" s="77" t="inlineStr">
        <is>
          <t>Hi! Yes, it's still available for me to import for you. It's a [VEHICULO] with full service history, and I'll hand it over with all the import paperwork in order from day one. Want to arrange a time to see it?</t>
        </is>
      </c>
    </row>
    <row r="60" ht="45.75" customHeight="1" s="43">
      <c r="C60" s="47" t="inlineStr">
        <is>
          <t>Aleman</t>
        </is>
      </c>
      <c r="D60" s="47" t="inlineStr">
        <is>
          <t>Profesional</t>
        </is>
      </c>
      <c r="E60" s="53" t="inlineStr">
        <is>
          <t>Informationen zum [VEHICULO] fuer Ihre Einfuhr</t>
        </is>
      </c>
      <c r="F60" s="77" t="inlineStr">
        <is>
          <t>Vielen Dank fuer Ihr Interesse. Dieser [VEHICULO] steht zur Verfuegung, damit ich die Einfuhr auf Ihren Namen abwickle. Mit [KM] km und nachweislich gepflegter Wartungshistorie ist die Einfuhrdokumentation von Anfang an vollstaendig und in Ordnung. Gerne beantworte ich weitere Fragen oder vereinbare einen Besichtigungstermin.</t>
        </is>
      </c>
    </row>
    <row r="61" ht="45.75" customHeight="1" s="43">
      <c r="C61" s="47" t="inlineStr">
        <is>
          <t>Aleman</t>
        </is>
      </c>
      <c r="D61" s="47" t="inlineStr">
        <is>
          <t>Distendido</t>
        </is>
      </c>
      <c r="F61" s="77" t="inlineStr">
        <is>
          <t>Hallo! Ja, ich kann ihn fuer Sie einfuehren. Ein [VEHICULO] mit komplettem Serviceheft, und Sie bekommen ihn mit allen Einfuhrpapieren von Anfang an in Ordnung. Lust auf einen Besichtigungstermin?</t>
        </is>
      </c>
    </row>
    <row r="62" ht="45.75" customHeight="1" s="43">
      <c r="A62" s="54" t="n">
        <v>10</v>
      </c>
      <c r="B62" s="62" t="inlineStr">
        <is>
          <t>10. Negociar honorarios/precio con el cliente</t>
        </is>
      </c>
      <c r="C62" s="54" t="inlineStr">
        <is>
          <t>Espaniol</t>
        </is>
      </c>
      <c r="D62" s="54" t="inlineStr">
        <is>
          <t>Profesional</t>
        </is>
      </c>
      <c r="E62" s="56" t="n"/>
      <c r="F62" s="78" t="inlineStr">
        <is>
          <t>Entiendo tu interes en ajustar el precio. El importe todo incluido ya refleja el estado del vehiculo, los costes de importacion y mis honorarios de gestion. Puedo ofrecerte un pequenio ajuste de [AJUSTE] EUR si confirmas esta semana.</t>
        </is>
      </c>
    </row>
    <row r="63" ht="45.75" customHeight="1" s="43">
      <c r="A63" s="56" t="n"/>
      <c r="B63" s="56" t="n"/>
      <c r="C63" s="54" t="inlineStr">
        <is>
          <t>Espaniol</t>
        </is>
      </c>
      <c r="D63" s="54" t="inlineStr">
        <is>
          <t>Distendido</t>
        </is>
      </c>
      <c r="E63" s="56" t="n"/>
      <c r="F63" s="78" t="inlineStr">
        <is>
          <t>Te entiendo, pero el precio todo incluido ya esta ajustado con lo que cuesta traerlo legal y en regla, mas mis honorarios. Si confirmamos esta semana, te puedo hacer algo de hueco.</t>
        </is>
      </c>
    </row>
    <row r="64" ht="45.75" customHeight="1" s="43">
      <c r="A64" s="56" t="n"/>
      <c r="B64" s="56" t="n"/>
      <c r="C64" s="54" t="inlineStr">
        <is>
          <t>Ingles</t>
        </is>
      </c>
      <c r="D64" s="54" t="inlineStr">
        <is>
          <t>Profesional</t>
        </is>
      </c>
      <c r="E64" s="56" t="n"/>
      <c r="F64" s="78" t="inlineStr">
        <is>
          <t>I understand you'd like some flexibility on the price. The all-inclusive price already reflects the vehicle's condition, the import costs, and my service fee. I can offer a small adjustment of EUR [AJUSTE] if you confirm this week.</t>
        </is>
      </c>
    </row>
    <row r="65" ht="45.75" customHeight="1" s="43">
      <c r="A65" s="56" t="n"/>
      <c r="B65" s="56" t="n"/>
      <c r="C65" s="54" t="inlineStr">
        <is>
          <t>Ingles</t>
        </is>
      </c>
      <c r="D65" s="54" t="inlineStr">
        <is>
          <t>Distendido</t>
        </is>
      </c>
      <c r="E65" s="56" t="n"/>
      <c r="F65" s="78" t="inlineStr">
        <is>
          <t>I get it, but the all-inclusive price already accounts for everything it takes to import it properly, plus my fee. If we confirm this week I can knock a bit off.</t>
        </is>
      </c>
    </row>
    <row r="66" ht="45.75" customHeight="1" s="43">
      <c r="A66" s="56" t="n"/>
      <c r="B66" s="56" t="n"/>
      <c r="C66" s="54" t="inlineStr">
        <is>
          <t>Aleman</t>
        </is>
      </c>
      <c r="D66" s="54" t="inlineStr">
        <is>
          <t>Profesional</t>
        </is>
      </c>
      <c r="E66" s="56" t="n"/>
      <c r="F66" s="78" t="inlineStr">
        <is>
          <t>Ich verstehe Ihr Interesse an einem besseren Preis. Der Gesamtpreis beruecksichtigt bereits den Zustand des Fahrzeugs, die Einfuhrkosten und mein Servicehonorar. Bei einer Bestaetigung diese Woche kann ich Ihnen [AJUSTE] EUR entgegenkommen.</t>
        </is>
      </c>
    </row>
    <row r="67" ht="45.75" customHeight="1" s="43">
      <c r="A67" s="56" t="n"/>
      <c r="B67" s="56" t="n"/>
      <c r="C67" s="54" t="inlineStr">
        <is>
          <t>Aleman</t>
        </is>
      </c>
      <c r="D67" s="54" t="inlineStr">
        <is>
          <t>Distendido</t>
        </is>
      </c>
      <c r="E67" s="56" t="n"/>
      <c r="F67" s="78" t="inlineStr">
        <is>
          <t>Kann ich verstehen, aber der Gesamtpreis ist schon fair kalkuliert mit allem, was die Einfuhr kostet, plus meinem Honorar. Wenn wir diese Woche bestaetigen, geht noch etwas.</t>
        </is>
      </c>
    </row>
    <row r="68" ht="45.75" customHeight="1" s="43">
      <c r="A68" s="47" t="n">
        <v>11</v>
      </c>
      <c r="B68" s="67" t="inlineStr">
        <is>
          <t>11. Confirmar visita con el cliente</t>
        </is>
      </c>
      <c r="C68" s="47" t="inlineStr">
        <is>
          <t>Espaniol</t>
        </is>
      </c>
      <c r="D68" s="47" t="inlineStr">
        <is>
          <t>Profesional</t>
        </is>
      </c>
      <c r="E68" s="53" t="inlineStr">
        <is>
          <t>Confirmacion de visita - [VEHICULO]</t>
        </is>
      </c>
      <c r="F68" s="77" t="inlineStr">
        <is>
          <t>Perfecto, te espero el [FECHA] a las [HORA] en [LUGAR] para ver el vehiculo. Si necesitas indicaciones o tienes alguna pregunta antes de la visita, quedo a tu disposicion.</t>
        </is>
      </c>
    </row>
    <row r="69" ht="45.75" customHeight="1" s="43">
      <c r="C69" s="47" t="inlineStr">
        <is>
          <t>Espaniol</t>
        </is>
      </c>
      <c r="D69" s="47" t="inlineStr">
        <is>
          <t>Distendido</t>
        </is>
      </c>
      <c r="F69" s="77" t="inlineStr">
        <is>
          <t>Vale, te espero el [FECHA] a las [HORA] en [LUGAR]. Cualquier cosa me avisas!</t>
        </is>
      </c>
    </row>
    <row r="70" ht="45.75" customHeight="1" s="43">
      <c r="C70" s="47" t="inlineStr">
        <is>
          <t>Ingles</t>
        </is>
      </c>
      <c r="D70" s="47" t="inlineStr">
        <is>
          <t>Profesional</t>
        </is>
      </c>
      <c r="E70" s="53" t="inlineStr">
        <is>
          <t>Visit confirmation - [VEHICULO]</t>
        </is>
      </c>
      <c r="F70" s="77" t="inlineStr">
        <is>
          <t>Perfect, I'll expect you on [FECHA] at [HORA] at [LUGAR] to see the vehicle. If you need directions or have any questions beforehand, feel free to reach out.</t>
        </is>
      </c>
    </row>
    <row r="71" ht="45.75" customHeight="1" s="43">
      <c r="C71" s="47" t="inlineStr">
        <is>
          <t>Ingles</t>
        </is>
      </c>
      <c r="D71" s="47" t="inlineStr">
        <is>
          <t>Distendido</t>
        </is>
      </c>
      <c r="F71" s="77" t="inlineStr">
        <is>
          <t>Cool, see you on [FECHA] at [HORA] at [LUGAR]. Let me know if anything changes!</t>
        </is>
      </c>
    </row>
    <row r="72" ht="45.75" customHeight="1" s="43">
      <c r="C72" s="47" t="inlineStr">
        <is>
          <t>Aleman</t>
        </is>
      </c>
      <c r="D72" s="47" t="inlineStr">
        <is>
          <t>Profesional</t>
        </is>
      </c>
      <c r="E72" s="53" t="inlineStr">
        <is>
          <t>Terminbestaetigung - [VEHICULO]</t>
        </is>
      </c>
      <c r="F72" s="77" t="inlineStr">
        <is>
          <t>Sehr gerne, ich erwarte Sie am [FECHA] um [HORA] in [LUGAR] zur Besichtigung. Bei Fragen oder falls Sie eine Wegbeschreibung benoetigen, melden Sie sich gerne.</t>
        </is>
      </c>
    </row>
    <row r="73" ht="45.75" customHeight="1" s="43">
      <c r="C73" s="47" t="inlineStr">
        <is>
          <t>Aleman</t>
        </is>
      </c>
      <c r="D73" s="47" t="inlineStr">
        <is>
          <t>Distendido</t>
        </is>
      </c>
      <c r="F73" s="77" t="inlineStr">
        <is>
          <t>Alles klar, bis [FECHA] um [HORA] in [LUGAR]. Sag Bescheid, falls sich was aendert!</t>
        </is>
      </c>
    </row>
    <row r="74" ht="45.75" customHeight="1" s="43">
      <c r="A74" s="54" t="n">
        <v>12</v>
      </c>
      <c r="B74" s="62" t="inlineStr">
        <is>
          <t>12. Cerrar la operacion de importacion con el cliente</t>
        </is>
      </c>
      <c r="C74" s="54" t="inlineStr">
        <is>
          <t>Espaniol</t>
        </is>
      </c>
      <c r="D74" s="54" t="inlineStr">
        <is>
          <t>Profesional</t>
        </is>
      </c>
      <c r="E74" s="57" t="inlineStr">
        <is>
          <t>Inicio de la gestion de importacion - [VEHICULO]</t>
        </is>
      </c>
      <c r="F74" s="78" t="inlineStr">
        <is>
          <t>Confirmo el inicio de la gestion de importacion del [VEHICULO] por [PRECIO] EUR todo incluido (coche, importacion y honorarios). Matriculare el vehiculo a tu nombre y te facilitare toda la documentacion, incluida la de importacion, y el contrato de servicio para formalizarlo. Gracias por tu confianza.</t>
        </is>
      </c>
    </row>
    <row r="75" ht="45.75" customHeight="1" s="43">
      <c r="A75" s="56" t="n"/>
      <c r="B75" s="56" t="n"/>
      <c r="C75" s="54" t="inlineStr">
        <is>
          <t>Espaniol</t>
        </is>
      </c>
      <c r="D75" s="54" t="inlineStr">
        <is>
          <t>Distendido</t>
        </is>
      </c>
      <c r="E75" s="56" t="n"/>
      <c r="F75" s="78" t="inlineStr">
        <is>
          <t>Genial, arrancamos con la importacion por [PRECIO] (todo incluido)! Te paso toda la documentacion y el contrato de servicio para firmarlo. Gracias por la confianza!</t>
        </is>
      </c>
    </row>
    <row r="76" ht="45.75" customHeight="1" s="43">
      <c r="A76" s="56" t="n"/>
      <c r="B76" s="56" t="n"/>
      <c r="C76" s="54" t="inlineStr">
        <is>
          <t>Ingles</t>
        </is>
      </c>
      <c r="D76" s="54" t="inlineStr">
        <is>
          <t>Profesional</t>
        </is>
      </c>
      <c r="E76" s="57" t="inlineStr">
        <is>
          <t>Import service start - [VEHICULO]</t>
        </is>
      </c>
      <c r="F76" s="78" t="inlineStr">
        <is>
          <t>I confirm we'll start managing the import of the [VEHICULO] for EUR [PRECIO] all-inclusive (car, import, and service fee). The vehicle will be registered in your name, and I'll provide all documentation, including import papers, and the service agreement to finalize it. Thank you for your trust.</t>
        </is>
      </c>
    </row>
    <row r="77" ht="45.75" customHeight="1" s="43">
      <c r="A77" s="56" t="n"/>
      <c r="B77" s="56" t="n"/>
      <c r="C77" s="54" t="inlineStr">
        <is>
          <t>Ingles</t>
        </is>
      </c>
      <c r="D77" s="54" t="inlineStr">
        <is>
          <t>Distendido</t>
        </is>
      </c>
      <c r="E77" s="56" t="n"/>
      <c r="F77" s="78" t="inlineStr">
        <is>
          <t>Awesome, let's get the import started for EUR [PRECIO] (all-in)! I'll send over all the paperwork and the service agreement to sign. Thanks for trusting me with this!</t>
        </is>
      </c>
    </row>
    <row r="78" ht="45.75" customHeight="1" s="43">
      <c r="A78" s="56" t="n"/>
      <c r="B78" s="56" t="n"/>
      <c r="C78" s="54" t="inlineStr">
        <is>
          <t>Aleman</t>
        </is>
      </c>
      <c r="D78" s="54" t="inlineStr">
        <is>
          <t>Profesional</t>
        </is>
      </c>
      <c r="E78" s="57" t="inlineStr">
        <is>
          <t>Beginn der Einfuhrabwicklung - [VEHICULO]</t>
        </is>
      </c>
      <c r="F78" s="78" t="inlineStr">
        <is>
          <t>Hiermit bestaetige ich den Beginn der Einfuhrabwicklung fuer den [VEHICULO] zum Gesamtpreis von [PRECIO] EUR (Fahrzeug, Einfuhr und Servicehonorar). Das Fahrzeug wird auf Ihren Namen zugelassen. Ich stelle Ihnen alle Unterlagen, inklusive Einfuhrdokumente, sowie den Servicevertrag zur Verfuegung. Vielen Dank fuer Ihr Vertrauen.</t>
        </is>
      </c>
    </row>
    <row r="79" ht="45.75" customHeight="1" s="43">
      <c r="A79" s="56" t="n"/>
      <c r="B79" s="56" t="n"/>
      <c r="C79" s="54" t="inlineStr">
        <is>
          <t>Aleman</t>
        </is>
      </c>
      <c r="D79" s="54" t="inlineStr">
        <is>
          <t>Distendido</t>
        </is>
      </c>
      <c r="E79" s="56" t="n"/>
      <c r="F79" s="78" t="inlineStr">
        <is>
          <t>Super, dann starten wir die Einfuhr fuer [PRECIO] EUR (Gesamtpreis)! Ich schicke Ihnen alle Unterlagen und den Servicevertrag zum Unterschreiben. Danke fuers Vertrauen!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E8590C"/>
    <outlinePr summaryBelow="1" summaryRight="1"/>
    <pageSetUpPr fitToPage="0"/>
  </sheetPr>
  <dimension ref="A1:C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 customWidth="1" style="42" min="1" max="1"/>
    <col width="34" customWidth="1" style="42" min="2" max="2"/>
    <col width="90" customWidth="1" style="42" min="3" max="3"/>
  </cols>
  <sheetData>
    <row r="1" ht="17.25" customHeight="1" s="43">
      <c r="A1" s="44" t="inlineStr">
        <is>
          <t>Anuncio de venta</t>
        </is>
      </c>
    </row>
    <row r="2" ht="15" customHeight="1" s="43">
      <c r="A2" s="45" t="inlineStr">
        <is>
          <t>Texto listo para publicar, generado a partir de los datos del vehiculo y la investigacion. Revisar antes de publicar y adaptar fotos.</t>
        </is>
      </c>
    </row>
    <row r="4" ht="15" customHeight="1" s="43">
      <c r="A4" s="51" t="inlineStr">
        <is>
          <t>TITULO Y PRECIO</t>
        </is>
      </c>
    </row>
    <row r="5" ht="15" customHeight="1" s="43">
      <c r="B5" s="47" t="inlineStr">
        <is>
          <t>Titulo del anuncio</t>
        </is>
      </c>
      <c r="C5" s="58" t="n"/>
    </row>
    <row r="6" ht="15" customHeight="1" s="43">
      <c r="B6" s="47" t="inlineStr">
        <is>
          <t>Precio todo incluido (publicado)</t>
        </is>
      </c>
      <c r="C6" s="49">
        <f>('Vehiculo y resumen'!B45)</f>
        <v/>
      </c>
    </row>
    <row r="8" ht="15" customHeight="1" s="43">
      <c r="A8" s="51" t="inlineStr">
        <is>
          <t>DESCRIPCION CORTA (RRSS - Instagram / Facebook / grupos)</t>
        </is>
      </c>
    </row>
    <row r="9" ht="15" customHeight="1" s="43">
      <c r="B9" s="53" t="inlineStr">
        <is>
          <t>Texto corto</t>
        </is>
      </c>
    </row>
    <row r="10" ht="90" customHeight="1" s="43">
      <c r="C10" s="79" t="n"/>
    </row>
    <row r="12" ht="15" customHeight="1" s="43">
      <c r="A12" s="51" t="inlineStr">
        <is>
          <t>DESCRIPCION LARGA (portal de venta - Wallapop / Coches.net / AutoScout24)</t>
        </is>
      </c>
    </row>
    <row r="13" ht="15" customHeight="1" s="43">
      <c r="B13" s="53" t="inlineStr">
        <is>
          <t>Texto largo</t>
        </is>
      </c>
    </row>
    <row r="14" ht="219.75" customHeight="1" s="43">
      <c r="C14" s="79" t="n"/>
    </row>
    <row r="16" ht="15" customHeight="1" s="43">
      <c r="A16" s="51" t="inlineStr">
        <is>
          <t>FICHA TECNICA RESUMIDA (para el cuerpo del anuncio)</t>
        </is>
      </c>
    </row>
    <row r="17" ht="15" customHeight="1" s="43">
      <c r="B17" s="47" t="inlineStr">
        <is>
          <t>Marca y modelo</t>
        </is>
      </c>
      <c r="C17" s="49">
        <f>IF('Vehiculo y resumen'!B6="","",'Vehiculo y resumen'!B6)</f>
        <v/>
      </c>
    </row>
    <row r="18" ht="15" customHeight="1" s="43">
      <c r="B18" s="54" t="inlineStr">
        <is>
          <t>Motorizacion</t>
        </is>
      </c>
      <c r="C18" s="80">
        <f>IF('Vehiculo y resumen'!B7="","",'Vehiculo y resumen'!B7)</f>
        <v/>
      </c>
    </row>
    <row r="19" ht="15" customHeight="1" s="43">
      <c r="B19" s="47" t="inlineStr">
        <is>
          <t>Combustible</t>
        </is>
      </c>
      <c r="C19" s="49">
        <f>IF('Vehiculo y resumen'!B8="","",'Vehiculo y resumen'!B8)</f>
        <v/>
      </c>
    </row>
    <row r="20" ht="15" customHeight="1" s="43">
      <c r="B20" s="54" t="inlineStr">
        <is>
          <t>Cambio</t>
        </is>
      </c>
      <c r="C20" s="80">
        <f>IF('Vehiculo y resumen'!B9="","",'Vehiculo y resumen'!B9)</f>
        <v/>
      </c>
    </row>
    <row r="21" ht="15" customHeight="1" s="43">
      <c r="B21" s="47" t="inlineStr">
        <is>
          <t>Anio</t>
        </is>
      </c>
      <c r="C21" s="49">
        <f>IF('Vehiculo y resumen'!B12="","",'Vehiculo y resumen'!B12)</f>
        <v/>
      </c>
    </row>
    <row r="22" ht="15" customHeight="1" s="43">
      <c r="B22" s="54" t="inlineStr">
        <is>
          <t>Kilometraje</t>
        </is>
      </c>
      <c r="C22" s="80">
        <f>IF('Vehiculo y resumen'!B13="","",'Vehiculo y resumen'!B13)</f>
        <v/>
      </c>
    </row>
    <row r="23" ht="15" customHeight="1" s="43">
      <c r="B23" s="47" t="inlineStr">
        <is>
          <t>Color</t>
        </is>
      </c>
      <c r="C23" s="49">
        <f>IF('Vehiculo y resumen'!B15="","",'Vehiculo y resumen'!B15)</f>
        <v/>
      </c>
    </row>
    <row r="24" ht="15" customHeight="1" s="43">
      <c r="B24" s="54" t="inlineStr">
        <is>
          <t>Equipamiento destacado</t>
        </is>
      </c>
      <c r="C24" s="80">
        <f>IF('Vehiculo y resumen'!B17="","",'Vehiculo y resumen'!B17)</f>
        <v/>
      </c>
    </row>
    <row r="26" ht="15" customHeight="1" s="43">
      <c r="A26" s="51" t="inlineStr">
        <is>
          <t>HASHTAGS / PALABRAS CLAVE (para RRSS)</t>
        </is>
      </c>
    </row>
    <row r="27" ht="15" customHeight="1" s="43">
      <c r="C27" s="58" t="n"/>
    </row>
    <row r="29" ht="15" customHeight="1" s="43">
      <c r="A29" s="51" t="inlineStr">
        <is>
          <t>FOTOS RECOMENDADAS ANTES DE PUBLICAR</t>
        </is>
      </c>
    </row>
    <row r="30" ht="15" customHeight="1" s="43">
      <c r="B30" s="47" t="inlineStr">
        <is>
          <t>Frontal 3/4 (exterior, luz de dia)</t>
        </is>
      </c>
    </row>
    <row r="31" ht="15" customHeight="1" s="43">
      <c r="B31" s="54" t="inlineStr">
        <is>
          <t>Trasera 3/4</t>
        </is>
      </c>
    </row>
    <row r="32" ht="15" customHeight="1" s="43">
      <c r="B32" s="47" t="inlineStr">
        <is>
          <t>Lateral completo (ambos lados si hay marcas)</t>
        </is>
      </c>
    </row>
    <row r="33" ht="15" customHeight="1" s="43">
      <c r="B33" s="54" t="inlineStr">
        <is>
          <t>Interior: salpicadero y volante</t>
        </is>
      </c>
    </row>
    <row r="34" ht="15" customHeight="1" s="43">
      <c r="B34" s="47" t="inlineStr">
        <is>
          <t>Interior: asientos delanteros y traseros</t>
        </is>
      </c>
    </row>
    <row r="35" ht="15" customHeight="1" s="43">
      <c r="B35" s="54" t="inlineStr">
        <is>
          <t>Maletero</t>
        </is>
      </c>
    </row>
    <row r="36" ht="15" customHeight="1" s="43">
      <c r="B36" s="47" t="inlineStr">
        <is>
          <t>Cuentakilometros (odometro visible)</t>
        </is>
      </c>
    </row>
    <row r="37" ht="15" customHeight="1" s="43">
      <c r="B37" s="54" t="inlineStr">
        <is>
          <t>Motor (capo abierto)</t>
        </is>
      </c>
    </row>
    <row r="38" ht="15" customHeight="1" s="43">
      <c r="B38" s="47" t="inlineStr">
        <is>
          <t>Bajos del vehiculo (si es posible)</t>
        </is>
      </c>
    </row>
    <row r="39" ht="15" customHeight="1" s="43">
      <c r="B39" s="54" t="inlineStr">
        <is>
          <t>Neumaticos (profundidad de dibujo)</t>
        </is>
      </c>
    </row>
    <row r="40" ht="15" customHeight="1" s="43">
      <c r="B40" s="47" t="inlineStr">
        <is>
          <t>Cualquier dano o desperfecto visible (transparencia)</t>
        </is>
      </c>
    </row>
  </sheetData>
  <mergeCells count="17">
    <mergeCell ref="B39:C39"/>
    <mergeCell ref="B38:C38"/>
    <mergeCell ref="B30:C30"/>
    <mergeCell ref="B33:C33"/>
    <mergeCell ref="A16:C16"/>
    <mergeCell ref="A8:C8"/>
    <mergeCell ref="B34:C34"/>
    <mergeCell ref="B37:C37"/>
    <mergeCell ref="B36:C36"/>
    <mergeCell ref="B32:C32"/>
    <mergeCell ref="B31:C31"/>
    <mergeCell ref="B40:C40"/>
    <mergeCell ref="A12:C12"/>
    <mergeCell ref="A4:C4"/>
    <mergeCell ref="B35:C35"/>
    <mergeCell ref="A26:C26"/>
    <mergeCell ref="A29:C2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2026-07-15T18:23:46Z</dcterms:created>
  <dcterms:modified xmlns:dcterms="http://purl.org/dc/terms/" xmlns:xsi="http://www.w3.org/2001/XMLSchema-instance" xsi:type="dcterms:W3CDTF">2026-07-23T10:27:25Z</dcterms:modified>
  <cp:revision>2</cp:revision>
</cp:coreProperties>
</file>